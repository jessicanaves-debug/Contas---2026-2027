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RIO~2\AppData\Local\Temp\cx\"/>
    </mc:Choice>
  </mc:AlternateContent>
  <xr:revisionPtr revIDLastSave="0" documentId="13_ncr:1_{BC9F96EF-AA9C-472A-BEE2-115606D2B0F4}" xr6:coauthVersionLast="47" xr6:coauthVersionMax="47" xr10:uidLastSave="{00000000-0000-0000-0000-000000000000}"/>
  <bookViews>
    <workbookView xWindow="1125" yWindow="1125" windowWidth="21600" windowHeight="11130" xr2:uid="{00000000-000D-0000-FFFF-FFFF00000000}"/>
  </bookViews>
  <sheets>
    <sheet name="Dashboard" sheetId="1" r:id="rId1"/>
    <sheet name="Resumo" sheetId="2" r:id="rId2"/>
    <sheet name="Receitas" sheetId="3" r:id="rId3"/>
    <sheet name="Contas Fixas" sheetId="4" r:id="rId4"/>
    <sheet name="Cartão" sheetId="5" r:id="rId5"/>
    <sheet name="Compras Cartão" sheetId="6" r:id="rId6"/>
    <sheet name="Mercado &amp; Alelo" sheetId="7" r:id="rId7"/>
    <sheet name="Provisões" sheetId="8" r:id="rId8"/>
    <sheet name="Metas" sheetId="9" r:id="rId9"/>
    <sheet name="Config" sheetId="10" r:id="rId10"/>
  </sheets>
  <calcPr calcId="191029"/>
</workbook>
</file>

<file path=xl/calcChain.xml><?xml version="1.0" encoding="utf-8"?>
<calcChain xmlns="http://schemas.openxmlformats.org/spreadsheetml/2006/main">
  <c r="B7" i="10" l="1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P6" i="2" s="1"/>
  <c r="B20" i="9"/>
  <c r="P5" i="2" s="1"/>
  <c r="P20" i="2" s="1"/>
  <c r="Q19" i="9"/>
  <c r="A19" i="9"/>
  <c r="Q18" i="9"/>
  <c r="A18" i="9"/>
  <c r="Q17" i="9"/>
  <c r="A17" i="9"/>
  <c r="Q16" i="9"/>
  <c r="A16" i="9"/>
  <c r="Q15" i="9"/>
  <c r="A15" i="9"/>
  <c r="Q14" i="9"/>
  <c r="H5" i="9" s="1"/>
  <c r="J5" i="9" s="1"/>
  <c r="A14" i="9"/>
  <c r="I10" i="9"/>
  <c r="H10" i="9"/>
  <c r="J10" i="9" s="1"/>
  <c r="F10" i="9"/>
  <c r="G10" i="9" s="1"/>
  <c r="I9" i="9"/>
  <c r="H9" i="9"/>
  <c r="J9" i="9" s="1"/>
  <c r="F9" i="9"/>
  <c r="G9" i="9" s="1"/>
  <c r="I8" i="9"/>
  <c r="H8" i="9"/>
  <c r="J8" i="9" s="1"/>
  <c r="F8" i="9"/>
  <c r="G8" i="9" s="1"/>
  <c r="I7" i="9"/>
  <c r="H7" i="9"/>
  <c r="J7" i="9" s="1"/>
  <c r="F7" i="9"/>
  <c r="G7" i="9" s="1"/>
  <c r="I6" i="9"/>
  <c r="H6" i="9"/>
  <c r="J6" i="9" s="1"/>
  <c r="F6" i="9"/>
  <c r="G6" i="9" s="1"/>
  <c r="I5" i="9"/>
  <c r="F5" i="9"/>
  <c r="G5" i="9" s="1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P17" i="8"/>
  <c r="O17" i="8"/>
  <c r="N17" i="8"/>
  <c r="M17" i="8"/>
  <c r="L17" i="8"/>
  <c r="K17" i="8"/>
  <c r="J17" i="8"/>
  <c r="I17" i="8"/>
  <c r="H17" i="8"/>
  <c r="G17" i="8"/>
  <c r="F17" i="8"/>
  <c r="B17" i="8"/>
  <c r="A17" i="8"/>
  <c r="P16" i="8"/>
  <c r="O16" i="8"/>
  <c r="O24" i="8" s="1"/>
  <c r="N16" i="8"/>
  <c r="N24" i="8" s="1"/>
  <c r="M16" i="8"/>
  <c r="L16" i="8"/>
  <c r="K16" i="8"/>
  <c r="K24" i="8" s="1"/>
  <c r="G14" i="2" s="1"/>
  <c r="J16" i="8"/>
  <c r="I16" i="8"/>
  <c r="I24" i="8" s="1"/>
  <c r="G12" i="2" s="1"/>
  <c r="H16" i="8"/>
  <c r="G16" i="8"/>
  <c r="G24" i="8" s="1"/>
  <c r="B16" i="8"/>
  <c r="A16" i="8"/>
  <c r="E12" i="8"/>
  <c r="F12" i="8" s="1"/>
  <c r="E11" i="8"/>
  <c r="F11" i="8" s="1"/>
  <c r="F10" i="8"/>
  <c r="E10" i="8"/>
  <c r="E9" i="8"/>
  <c r="F9" i="8" s="1"/>
  <c r="E8" i="8"/>
  <c r="F8" i="8" s="1"/>
  <c r="E7" i="8"/>
  <c r="F7" i="8" s="1"/>
  <c r="E6" i="8"/>
  <c r="F6" i="8" s="1"/>
  <c r="E17" i="8" s="1"/>
  <c r="E5" i="8"/>
  <c r="F5" i="8" s="1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R8" i="7"/>
  <c r="Q8" i="7"/>
  <c r="P8" i="7"/>
  <c r="O8" i="7"/>
  <c r="N8" i="7"/>
  <c r="M8" i="7"/>
  <c r="L8" i="7"/>
  <c r="F13" i="2" s="1"/>
  <c r="K8" i="7"/>
  <c r="F12" i="2" s="1"/>
  <c r="J8" i="7"/>
  <c r="F11" i="2" s="1"/>
  <c r="I8" i="7"/>
  <c r="H8" i="7"/>
  <c r="G8" i="7"/>
  <c r="F8" i="7"/>
  <c r="E8" i="7"/>
  <c r="D8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S6" i="7"/>
  <c r="S5" i="7"/>
  <c r="H204" i="6"/>
  <c r="G204" i="6"/>
  <c r="H203" i="6"/>
  <c r="G203" i="6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H158" i="6"/>
  <c r="G158" i="6"/>
  <c r="H157" i="6"/>
  <c r="G157" i="6"/>
  <c r="H156" i="6"/>
  <c r="G156" i="6"/>
  <c r="H155" i="6"/>
  <c r="G155" i="6"/>
  <c r="H154" i="6"/>
  <c r="G154" i="6"/>
  <c r="H153" i="6"/>
  <c r="G153" i="6"/>
  <c r="H152" i="6"/>
  <c r="G152" i="6"/>
  <c r="H151" i="6"/>
  <c r="G151" i="6"/>
  <c r="H150" i="6"/>
  <c r="G150" i="6"/>
  <c r="H149" i="6"/>
  <c r="G149" i="6"/>
  <c r="H148" i="6"/>
  <c r="G148" i="6"/>
  <c r="H147" i="6"/>
  <c r="G147" i="6"/>
  <c r="H146" i="6"/>
  <c r="G146" i="6"/>
  <c r="H145" i="6"/>
  <c r="G145" i="6"/>
  <c r="H144" i="6"/>
  <c r="G144" i="6"/>
  <c r="H143" i="6"/>
  <c r="G143" i="6"/>
  <c r="H142" i="6"/>
  <c r="G142" i="6"/>
  <c r="H141" i="6"/>
  <c r="G141" i="6"/>
  <c r="H140" i="6"/>
  <c r="G140" i="6"/>
  <c r="H139" i="6"/>
  <c r="G139" i="6"/>
  <c r="H138" i="6"/>
  <c r="G138" i="6"/>
  <c r="H137" i="6"/>
  <c r="G137" i="6"/>
  <c r="H136" i="6"/>
  <c r="G136" i="6"/>
  <c r="H135" i="6"/>
  <c r="G135" i="6"/>
  <c r="H134" i="6"/>
  <c r="G134" i="6"/>
  <c r="H133" i="6"/>
  <c r="G133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6" i="6"/>
  <c r="G126" i="6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5" i="6"/>
  <c r="G85" i="6"/>
  <c r="H84" i="6"/>
  <c r="G84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I8" i="5" s="1"/>
  <c r="I10" i="5" s="1"/>
  <c r="G8" i="6"/>
  <c r="H7" i="6"/>
  <c r="G7" i="6"/>
  <c r="H6" i="6"/>
  <c r="G6" i="6"/>
  <c r="H5" i="6"/>
  <c r="G5" i="6"/>
  <c r="L8" i="5"/>
  <c r="L10" i="5" s="1"/>
  <c r="K8" i="5"/>
  <c r="K10" i="5" s="1"/>
  <c r="J8" i="5"/>
  <c r="J10" i="5" s="1"/>
  <c r="K7" i="5"/>
  <c r="K9" i="5" s="1"/>
  <c r="K11" i="5" s="1"/>
  <c r="J7" i="5"/>
  <c r="J9" i="5" s="1"/>
  <c r="I7" i="5"/>
  <c r="I9" i="5" s="1"/>
  <c r="S6" i="5"/>
  <c r="S5" i="5"/>
  <c r="R25" i="4"/>
  <c r="Q25" i="4"/>
  <c r="P25" i="4"/>
  <c r="C17" i="2" s="1"/>
  <c r="O25" i="4"/>
  <c r="C16" i="2" s="1"/>
  <c r="N25" i="4"/>
  <c r="C15" i="2" s="1"/>
  <c r="M25" i="4"/>
  <c r="C14" i="2" s="1"/>
  <c r="L25" i="4"/>
  <c r="C13" i="2" s="1"/>
  <c r="K25" i="4"/>
  <c r="C12" i="2" s="1"/>
  <c r="J25" i="4"/>
  <c r="C11" i="2" s="1"/>
  <c r="I25" i="4"/>
  <c r="H25" i="4"/>
  <c r="C9" i="2" s="1"/>
  <c r="G25" i="4"/>
  <c r="C8" i="2" s="1"/>
  <c r="F25" i="4"/>
  <c r="C7" i="2" s="1"/>
  <c r="E25" i="4"/>
  <c r="C6" i="2" s="1"/>
  <c r="D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R11" i="3"/>
  <c r="B19" i="2" s="1"/>
  <c r="Q11" i="3"/>
  <c r="B18" i="2" s="1"/>
  <c r="P11" i="3"/>
  <c r="B17" i="2" s="1"/>
  <c r="O11" i="3"/>
  <c r="B16" i="2" s="1"/>
  <c r="N11" i="3"/>
  <c r="B15" i="2" s="1"/>
  <c r="M11" i="3"/>
  <c r="B14" i="2" s="1"/>
  <c r="L11" i="3"/>
  <c r="B13" i="2" s="1"/>
  <c r="K11" i="3"/>
  <c r="B12" i="2" s="1"/>
  <c r="J11" i="3"/>
  <c r="B11" i="2" s="1"/>
  <c r="I11" i="3"/>
  <c r="H11" i="3"/>
  <c r="G11" i="3"/>
  <c r="F11" i="3"/>
  <c r="E11" i="3"/>
  <c r="D11" i="3"/>
  <c r="R10" i="3"/>
  <c r="R19" i="2" s="1"/>
  <c r="Q10" i="3"/>
  <c r="R18" i="2" s="1"/>
  <c r="P10" i="3"/>
  <c r="R17" i="2" s="1"/>
  <c r="O10" i="3"/>
  <c r="R16" i="2" s="1"/>
  <c r="N10" i="3"/>
  <c r="R15" i="2" s="1"/>
  <c r="M10" i="3"/>
  <c r="R14" i="2" s="1"/>
  <c r="L10" i="3"/>
  <c r="R13" i="2" s="1"/>
  <c r="K10" i="3"/>
  <c r="J10" i="3"/>
  <c r="R11" i="2" s="1"/>
  <c r="I10" i="3"/>
  <c r="R10" i="2" s="1"/>
  <c r="H10" i="3"/>
  <c r="R9" i="2" s="1"/>
  <c r="G10" i="3"/>
  <c r="R8" i="2" s="1"/>
  <c r="F10" i="3"/>
  <c r="E10" i="3"/>
  <c r="D10" i="3"/>
  <c r="S9" i="3"/>
  <c r="S8" i="3"/>
  <c r="S7" i="3"/>
  <c r="S6" i="3"/>
  <c r="S5" i="3"/>
  <c r="Q19" i="2"/>
  <c r="P19" i="2"/>
  <c r="F19" i="2"/>
  <c r="D19" i="2"/>
  <c r="C19" i="2"/>
  <c r="Q18" i="2"/>
  <c r="P18" i="2"/>
  <c r="G18" i="2"/>
  <c r="F18" i="2"/>
  <c r="D18" i="2"/>
  <c r="C18" i="2"/>
  <c r="Q17" i="2"/>
  <c r="P17" i="2"/>
  <c r="G17" i="2"/>
  <c r="F17" i="2"/>
  <c r="D17" i="2"/>
  <c r="Q16" i="2"/>
  <c r="P16" i="2"/>
  <c r="F16" i="2"/>
  <c r="D16" i="2"/>
  <c r="Q15" i="2"/>
  <c r="P15" i="2"/>
  <c r="F15" i="2"/>
  <c r="D15" i="2"/>
  <c r="Q14" i="2"/>
  <c r="P14" i="2"/>
  <c r="F14" i="2"/>
  <c r="D14" i="2"/>
  <c r="Q13" i="2"/>
  <c r="P13" i="2"/>
  <c r="D13" i="2"/>
  <c r="R12" i="2"/>
  <c r="Q12" i="2"/>
  <c r="P12" i="2"/>
  <c r="D12" i="2"/>
  <c r="Q11" i="2"/>
  <c r="P11" i="2"/>
  <c r="D11" i="2"/>
  <c r="Q10" i="2"/>
  <c r="P10" i="2"/>
  <c r="G10" i="2"/>
  <c r="F10" i="2"/>
  <c r="D10" i="2"/>
  <c r="C10" i="2"/>
  <c r="B10" i="2"/>
  <c r="Q9" i="2"/>
  <c r="P9" i="2"/>
  <c r="F9" i="2"/>
  <c r="D9" i="2"/>
  <c r="B9" i="2"/>
  <c r="Q8" i="2"/>
  <c r="P8" i="2"/>
  <c r="F8" i="2"/>
  <c r="D8" i="2"/>
  <c r="B8" i="2"/>
  <c r="R7" i="2"/>
  <c r="Q7" i="2"/>
  <c r="P7" i="2"/>
  <c r="F7" i="2"/>
  <c r="D7" i="2"/>
  <c r="B7" i="2"/>
  <c r="R6" i="2"/>
  <c r="Q6" i="2"/>
  <c r="F6" i="2"/>
  <c r="D6" i="2"/>
  <c r="B6" i="2"/>
  <c r="R5" i="2"/>
  <c r="Q5" i="2"/>
  <c r="K5" i="2"/>
  <c r="B20" i="1" s="1"/>
  <c r="F5" i="2"/>
  <c r="B18" i="1" s="1"/>
  <c r="D5" i="2"/>
  <c r="C5" i="2"/>
  <c r="B15" i="1" s="1"/>
  <c r="B5" i="2"/>
  <c r="C16" i="8" l="1"/>
  <c r="D16" i="8"/>
  <c r="L7" i="5"/>
  <c r="E13" i="2" s="1"/>
  <c r="H13" i="2" s="1"/>
  <c r="M8" i="5"/>
  <c r="M10" i="5" s="1"/>
  <c r="M7" i="5"/>
  <c r="E14" i="2" s="1"/>
  <c r="N8" i="5"/>
  <c r="N10" i="5" s="1"/>
  <c r="H24" i="8"/>
  <c r="G11" i="2" s="1"/>
  <c r="N7" i="5"/>
  <c r="E15" i="2" s="1"/>
  <c r="H15" i="2" s="1"/>
  <c r="O8" i="5"/>
  <c r="O10" i="5" s="1"/>
  <c r="D20" i="2"/>
  <c r="O7" i="5"/>
  <c r="E16" i="2" s="1"/>
  <c r="H16" i="2" s="1"/>
  <c r="P8" i="5"/>
  <c r="P10" i="5" s="1"/>
  <c r="E10" i="2"/>
  <c r="H10" i="2" s="1"/>
  <c r="Q20" i="2"/>
  <c r="P7" i="5"/>
  <c r="Q8" i="5"/>
  <c r="Q10" i="5" s="1"/>
  <c r="Q7" i="5"/>
  <c r="R8" i="5"/>
  <c r="R10" i="5" s="1"/>
  <c r="Q19" i="8"/>
  <c r="I11" i="5"/>
  <c r="F20" i="2"/>
  <c r="R7" i="5"/>
  <c r="S9" i="7"/>
  <c r="J24" i="8"/>
  <c r="G13" i="2" s="1"/>
  <c r="M24" i="8"/>
  <c r="G16" i="2" s="1"/>
  <c r="E12" i="2"/>
  <c r="H12" i="2" s="1"/>
  <c r="D8" i="5"/>
  <c r="D10" i="5" s="1"/>
  <c r="S8" i="7"/>
  <c r="D7" i="5"/>
  <c r="S7" i="5" s="1"/>
  <c r="S9" i="5" s="1"/>
  <c r="E8" i="5"/>
  <c r="E10" i="5" s="1"/>
  <c r="S7" i="7"/>
  <c r="L24" i="8"/>
  <c r="G15" i="2" s="1"/>
  <c r="C20" i="2"/>
  <c r="B16" i="1"/>
  <c r="E7" i="5"/>
  <c r="E9" i="5" s="1"/>
  <c r="E11" i="5" s="1"/>
  <c r="F8" i="5"/>
  <c r="F10" i="5" s="1"/>
  <c r="F7" i="5"/>
  <c r="F9" i="5" s="1"/>
  <c r="G8" i="5"/>
  <c r="G10" i="5" s="1"/>
  <c r="E11" i="2"/>
  <c r="H11" i="2" s="1"/>
  <c r="G7" i="5"/>
  <c r="G9" i="5" s="1"/>
  <c r="G11" i="5" s="1"/>
  <c r="H8" i="5"/>
  <c r="H10" i="5" s="1"/>
  <c r="Q18" i="8"/>
  <c r="Q20" i="8"/>
  <c r="Q21" i="8"/>
  <c r="Q23" i="8"/>
  <c r="H7" i="5"/>
  <c r="P24" i="8"/>
  <c r="G19" i="2" s="1"/>
  <c r="Q22" i="8"/>
  <c r="Q20" i="9"/>
  <c r="R20" i="2"/>
  <c r="B20" i="2"/>
  <c r="J11" i="5"/>
  <c r="S11" i="3"/>
  <c r="H14" i="2"/>
  <c r="I14" i="2" s="1"/>
  <c r="S25" i="4"/>
  <c r="A7" i="1"/>
  <c r="C17" i="8"/>
  <c r="E16" i="8"/>
  <c r="E24" i="8" s="1"/>
  <c r="G8" i="2" s="1"/>
  <c r="D17" i="8"/>
  <c r="D24" i="8" s="1"/>
  <c r="G7" i="2" s="1"/>
  <c r="F16" i="8"/>
  <c r="F24" i="8" s="1"/>
  <c r="G9" i="2" s="1"/>
  <c r="L9" i="5"/>
  <c r="L11" i="5" s="1"/>
  <c r="M9" i="5"/>
  <c r="M11" i="5" s="1"/>
  <c r="N9" i="5"/>
  <c r="N11" i="5" s="1"/>
  <c r="B24" i="8"/>
  <c r="G5" i="2" s="1"/>
  <c r="S10" i="3"/>
  <c r="J10" i="2" l="1"/>
  <c r="I10" i="2"/>
  <c r="J12" i="2"/>
  <c r="I12" i="2"/>
  <c r="I16" i="2"/>
  <c r="J16" i="2"/>
  <c r="J15" i="2"/>
  <c r="I15" i="2"/>
  <c r="I11" i="2"/>
  <c r="J11" i="2"/>
  <c r="J13" i="2"/>
  <c r="I13" i="2"/>
  <c r="F11" i="5"/>
  <c r="R9" i="5"/>
  <c r="R11" i="5" s="1"/>
  <c r="E19" i="2"/>
  <c r="H19" i="2" s="1"/>
  <c r="H9" i="5"/>
  <c r="H11" i="5" s="1"/>
  <c r="E9" i="2"/>
  <c r="S8" i="5"/>
  <c r="S10" i="5" s="1"/>
  <c r="Q9" i="5"/>
  <c r="Q11" i="5" s="1"/>
  <c r="E18" i="2"/>
  <c r="H18" i="2" s="1"/>
  <c r="D9" i="5"/>
  <c r="D11" i="5" s="1"/>
  <c r="E5" i="2"/>
  <c r="B17" i="1" s="1"/>
  <c r="C17" i="1" s="1"/>
  <c r="H9" i="2"/>
  <c r="I9" i="2" s="1"/>
  <c r="J14" i="2"/>
  <c r="P9" i="5"/>
  <c r="P11" i="5" s="1"/>
  <c r="E17" i="2"/>
  <c r="H17" i="2" s="1"/>
  <c r="E7" i="2"/>
  <c r="H7" i="2" s="1"/>
  <c r="E6" i="2"/>
  <c r="O9" i="5"/>
  <c r="O11" i="5" s="1"/>
  <c r="E8" i="2"/>
  <c r="H8" i="2" s="1"/>
  <c r="H5" i="2"/>
  <c r="J5" i="2" s="1"/>
  <c r="G7" i="1" s="1"/>
  <c r="C7" i="1"/>
  <c r="Q17" i="8"/>
  <c r="S11" i="5"/>
  <c r="C24" i="8"/>
  <c r="G6" i="2" s="1"/>
  <c r="H6" i="2" s="1"/>
  <c r="Q16" i="8"/>
  <c r="Q24" i="8" s="1"/>
  <c r="B19" i="1"/>
  <c r="C19" i="1" s="1"/>
  <c r="G20" i="2"/>
  <c r="C20" i="1"/>
  <c r="C18" i="1"/>
  <c r="C15" i="1"/>
  <c r="C16" i="1"/>
  <c r="J19" i="2" l="1"/>
  <c r="I19" i="2"/>
  <c r="I17" i="2"/>
  <c r="J17" i="2"/>
  <c r="J9" i="2"/>
  <c r="I5" i="2"/>
  <c r="O5" i="2" s="1"/>
  <c r="E20" i="2"/>
  <c r="J18" i="2"/>
  <c r="I18" i="2"/>
  <c r="J8" i="2"/>
  <c r="I8" i="2"/>
  <c r="I20" i="2" s="1"/>
  <c r="I6" i="2"/>
  <c r="J6" i="2"/>
  <c r="E7" i="1"/>
  <c r="S5" i="2"/>
  <c r="D4" i="1" s="1"/>
  <c r="J7" i="2"/>
  <c r="I7" i="2"/>
  <c r="H20" i="2"/>
  <c r="J20" i="2" s="1"/>
  <c r="N5" i="2" l="1"/>
  <c r="L5" i="2"/>
  <c r="M5" i="2"/>
  <c r="E10" i="1"/>
  <c r="B23" i="1"/>
  <c r="C23" i="1" s="1"/>
  <c r="A10" i="1"/>
  <c r="B21" i="1"/>
  <c r="C21" i="1" s="1"/>
  <c r="G10" i="1"/>
  <c r="O6" i="2"/>
  <c r="O7" i="2" s="1"/>
  <c r="O8" i="2" s="1"/>
  <c r="C10" i="1"/>
  <c r="B22" i="1"/>
  <c r="C22" i="1" s="1"/>
  <c r="K6" i="2"/>
  <c r="M6" i="2" s="1"/>
  <c r="K7" i="2"/>
  <c r="M7" i="2" s="1"/>
  <c r="S7" i="2" l="1"/>
  <c r="L6" i="2"/>
  <c r="N7" i="2"/>
  <c r="L7" i="2"/>
  <c r="K8" i="2"/>
  <c r="N6" i="2"/>
  <c r="O9" i="2"/>
  <c r="K9" i="2"/>
  <c r="S6" i="2"/>
  <c r="O10" i="2" l="1"/>
  <c r="K10" i="2"/>
  <c r="S8" i="2"/>
  <c r="N8" i="2"/>
  <c r="M8" i="2"/>
  <c r="L8" i="2"/>
  <c r="S9" i="2"/>
  <c r="N9" i="2"/>
  <c r="L9" i="2"/>
  <c r="M9" i="2"/>
  <c r="S10" i="2" l="1"/>
  <c r="N10" i="2"/>
  <c r="L10" i="2"/>
  <c r="M10" i="2"/>
  <c r="O11" i="2"/>
  <c r="K11" i="2"/>
  <c r="N11" i="2" l="1"/>
  <c r="L11" i="2"/>
  <c r="M11" i="2"/>
  <c r="S11" i="2"/>
  <c r="O12" i="2"/>
  <c r="K12" i="2"/>
  <c r="S12" i="2" l="1"/>
  <c r="N12" i="2"/>
  <c r="M12" i="2"/>
  <c r="L12" i="2"/>
  <c r="O13" i="2"/>
  <c r="K13" i="2"/>
  <c r="O14" i="2" l="1"/>
  <c r="K14" i="2"/>
  <c r="M13" i="2"/>
  <c r="L13" i="2"/>
  <c r="N13" i="2"/>
  <c r="S13" i="2"/>
  <c r="L14" i="2" l="1"/>
  <c r="N14" i="2"/>
  <c r="S14" i="2"/>
  <c r="M14" i="2"/>
  <c r="O15" i="2"/>
  <c r="K15" i="2"/>
  <c r="O16" i="2" l="1"/>
  <c r="K16" i="2"/>
  <c r="S15" i="2"/>
  <c r="M15" i="2"/>
  <c r="N15" i="2"/>
  <c r="L15" i="2"/>
  <c r="S16" i="2" l="1"/>
  <c r="N16" i="2"/>
  <c r="M16" i="2"/>
  <c r="L16" i="2"/>
  <c r="O17" i="2"/>
  <c r="K17" i="2"/>
  <c r="S17" i="2" l="1"/>
  <c r="N17" i="2"/>
  <c r="M17" i="2"/>
  <c r="L17" i="2"/>
  <c r="O18" i="2"/>
  <c r="K18" i="2"/>
  <c r="N18" i="2" l="1"/>
  <c r="M18" i="2"/>
  <c r="L18" i="2"/>
  <c r="S18" i="2"/>
  <c r="O19" i="2"/>
  <c r="O20" i="2" s="1"/>
  <c r="K19" i="2"/>
  <c r="N19" i="2" l="1"/>
  <c r="N20" i="2" s="1"/>
  <c r="M19" i="2"/>
  <c r="M20" i="2" s="1"/>
  <c r="L19" i="2"/>
  <c r="L20" i="2" s="1"/>
  <c r="S19" i="2"/>
  <c r="K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0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Luz: você disse que varia entre R$ 200 e R$ 240. Usei a média de R$ 220.</t>
        </r>
      </text>
    </comment>
    <comment ref="A1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Moto: considerei R$ 433,13 também em out-dez/26. Se começa só em jan/27, zere os meses de 2026.</t>
        </r>
      </text>
    </comment>
    <comment ref="A1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Renner: 'mais um ou dois meses' -&gt; coloquei out e nov/26. Ajuste se precisar.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Pedro: na sua mensagem apareceu 'julho 23,07 e julho 23,07'. Considerei jun/27 = 23,07 e jul/27 = 23,07. Confira!</t>
        </r>
      </text>
    </comment>
  </commentList>
</comments>
</file>

<file path=xl/sharedStrings.xml><?xml version="1.0" encoding="utf-8"?>
<sst xmlns="http://schemas.openxmlformats.org/spreadsheetml/2006/main" count="200" uniqueCount="150">
  <si>
    <t>Dashboard das Contas — out/26 a dez/27</t>
  </si>
  <si>
    <t>Escolha o mês na célula amarela (B4). Tudo atualiza sozinho a partir das outras abas.</t>
  </si>
  <si>
    <t>Mês:</t>
  </si>
  <si>
    <t>Receita p/ contas</t>
  </si>
  <si>
    <t>Total comprometido</t>
  </si>
  <si>
    <t>SOBRA</t>
  </si>
  <si>
    <t>% comprometido</t>
  </si>
  <si>
    <t>Guardar (meta)</t>
  </si>
  <si>
    <t>Reserva novas coisas</t>
  </si>
  <si>
    <t>LIVRE p/ gastar</t>
  </si>
  <si>
    <t>Saldo acumulado</t>
  </si>
  <si>
    <t>Para onde vai o dinheiro no mês</t>
  </si>
  <si>
    <t>Categoria</t>
  </si>
  <si>
    <t>Valor</t>
  </si>
  <si>
    <t>% da receita</t>
  </si>
  <si>
    <t>Contas fixas</t>
  </si>
  <si>
    <t>Cartão (parcelas antigas)</t>
  </si>
  <si>
    <t>Cartão (compras novas)</t>
  </si>
  <si>
    <t>Mercado (do salário)</t>
  </si>
  <si>
    <t>Provisões IPTU/IPVA</t>
  </si>
  <si>
    <t>Cobrir mês negativo</t>
  </si>
  <si>
    <t>Livre p/ gastar</t>
  </si>
  <si>
    <t>Mês NO VERMELHO = sobra negativa. Use bônus (aba Receitas) ou o saldo acumulado dos meses seguintes.</t>
  </si>
  <si>
    <t>Resumo mensal (automático)</t>
  </si>
  <si>
    <t>Tudo aqui é calculado a partir das outras abas. Não precisa editar.</t>
  </si>
  <si>
    <t>Mês</t>
  </si>
  <si>
    <t>TOTAL COMPROMETIDO</t>
  </si>
  <si>
    <t>Guardado de verdade</t>
  </si>
  <si>
    <t>Alelo</t>
  </si>
  <si>
    <t>Bônus reservado</t>
  </si>
  <si>
    <t>Status</t>
  </si>
  <si>
    <t>TOTAL</t>
  </si>
  <si>
    <t>Receitas (entradas do mês)</t>
  </si>
  <si>
    <t>Células AMARELAS com texto AZUL = você preenche/edita. O resto é fórmula (não apague).  Bônus: lance o valor recebido e quanto dele vai para as contas.</t>
  </si>
  <si>
    <t>Item</t>
  </si>
  <si>
    <t>Obs.</t>
  </si>
  <si>
    <t>Total</t>
  </si>
  <si>
    <t>Salário Jessica</t>
  </si>
  <si>
    <t>Salário</t>
  </si>
  <si>
    <t>fixo</t>
  </si>
  <si>
    <t>Salário Pedro</t>
  </si>
  <si>
    <t>aprox.</t>
  </si>
  <si>
    <t>Bônus Jessica - recebido</t>
  </si>
  <si>
    <t>Bônus</t>
  </si>
  <si>
    <t>quando houver</t>
  </si>
  <si>
    <t>Bônus - usado nas contas</t>
  </si>
  <si>
    <t>parte do bônus p/ as contas</t>
  </si>
  <si>
    <t>Outras entradas</t>
  </si>
  <si>
    <t>Outros</t>
  </si>
  <si>
    <t>freelas, vendas...</t>
  </si>
  <si>
    <t>Bônus guardado p/ coisas específicas</t>
  </si>
  <si>
    <t>RECEITA PARA AS CONTAS</t>
  </si>
  <si>
    <t>Obs.: o salário do Pedro (~R$ 2.700) é aproximado — ajuste mês a mês quando souber o valor real.</t>
  </si>
  <si>
    <t>Células AMARELAS com texto AZUL = você preenche/edita. O resto é fórmula (não apague).  Conta nova: use as linhas em branco. Valor mudou (ex.: DAS 2027)? Edite daquele mês em diante.</t>
  </si>
  <si>
    <t>Casa</t>
  </si>
  <si>
    <t>Moradia</t>
  </si>
  <si>
    <t>TIM</t>
  </si>
  <si>
    <t>Telefone/Internet</t>
  </si>
  <si>
    <t>DAS</t>
  </si>
  <si>
    <t>Impostos</t>
  </si>
  <si>
    <t>vai aumentar em 2027</t>
  </si>
  <si>
    <t>Internet</t>
  </si>
  <si>
    <t>vai aumentar</t>
  </si>
  <si>
    <t>Água</t>
  </si>
  <si>
    <t>Luz</t>
  </si>
  <si>
    <t>média R$ 200-240</t>
  </si>
  <si>
    <t>Moto (parcela)</t>
  </si>
  <si>
    <t>Transporte</t>
  </si>
  <si>
    <t>até dez/27</t>
  </si>
  <si>
    <t>Renner</t>
  </si>
  <si>
    <t>Compras</t>
  </si>
  <si>
    <t>últimas parcelas</t>
  </si>
  <si>
    <t>Roupinha</t>
  </si>
  <si>
    <t>mensal</t>
  </si>
  <si>
    <t>TOTAL CONTAS FIXAS</t>
  </si>
  <si>
    <t>Cartão de crédito — parcelas por mês</t>
  </si>
  <si>
    <t>Células AMARELAS com texto AZUL = você preenche/edita. O resto é fórmula (não apague).  Linhas 5-6 = parcelas que já existiam. Linhas 7-8 vêm sozinhas da aba 'Compras Cartão'.</t>
  </si>
  <si>
    <t>Parcelas já existentes - Jessica</t>
  </si>
  <si>
    <t>Cartão</t>
  </si>
  <si>
    <t>Parcelas já existentes - Pedro</t>
  </si>
  <si>
    <t>Novas compras - Jessica</t>
  </si>
  <si>
    <t>automático</t>
  </si>
  <si>
    <t>Novas compras - Pedro</t>
  </si>
  <si>
    <t>TOTAL JESSICA</t>
  </si>
  <si>
    <t>TOTAL PEDRO</t>
  </si>
  <si>
    <t>TOTAL CARTÃO</t>
  </si>
  <si>
    <t>Novas compras no cartão</t>
  </si>
  <si>
    <t>Lance cada compra NOVA aqui; ela se distribui sozinha nos meses. Exemplo: 12/10/2026 | Tênis | Jessica | 600 | 3 | nov/26 (mês da 1ª fatura) | Roupas</t>
  </si>
  <si>
    <t>Data</t>
  </si>
  <si>
    <t>Descrição</t>
  </si>
  <si>
    <t>Quem</t>
  </si>
  <si>
    <t>Valor total</t>
  </si>
  <si>
    <t>Nº parcelas</t>
  </si>
  <si>
    <t>1ª fatura (mês)</t>
  </si>
  <si>
    <t>Valor parcela</t>
  </si>
  <si>
    <t>Última fatura</t>
  </si>
  <si>
    <t>Mercado &amp; Alelo</t>
  </si>
  <si>
    <t>Células AMARELAS com texto AZUL = você preenche/edita. O resto é fórmula (não apague).  O Alelo abate primeiro do mercado; só o que passar sai do salário.</t>
  </si>
  <si>
    <t>Orçamento de mercado do mês</t>
  </si>
  <si>
    <t>Mercado</t>
  </si>
  <si>
    <t>defina quanto gastam</t>
  </si>
  <si>
    <t>Alelo recebido</t>
  </si>
  <si>
    <t>Benefício</t>
  </si>
  <si>
    <t>preencher quando começar</t>
  </si>
  <si>
    <t>Mercado coberto pelo Alelo</t>
  </si>
  <si>
    <t>Mercado pago do salário</t>
  </si>
  <si>
    <t>Alelo que sobrou</t>
  </si>
  <si>
    <t>Provisões — gastos anuais (IPTU, IPVA...)</t>
  </si>
  <si>
    <t>Em vez do susto no mês do boleto, a planilha separa um pouco por mês até a data. Células AMARELAS com texto AZUL = você preenche/edita. O resto é fórmula (não apague).</t>
  </si>
  <si>
    <t>Gasto anual</t>
  </si>
  <si>
    <t>Mês de pagamento</t>
  </si>
  <si>
    <t>Começar a guardar em</t>
  </si>
  <si>
    <t>Nº de meses</t>
  </si>
  <si>
    <t>Guardar por mês</t>
  </si>
  <si>
    <t>IPTU da casa 2027</t>
  </si>
  <si>
    <t>ESTIMATIVA - troque pelo valor do carnê</t>
  </si>
  <si>
    <t>IPVA + licenciamento da moto 2027</t>
  </si>
  <si>
    <t>ESTIMATIVA - troque pelo valor real</t>
  </si>
  <si>
    <t>Quanto separar em cada mês (automático)</t>
  </si>
  <si>
    <t>TOTAL A SEPARAR</t>
  </si>
  <si>
    <t>Metas de economia</t>
  </si>
  <si>
    <t>Células AMARELAS com texto AZUL = você preenche/edita. O resto é fórmula (não apague).  Ainda sem valor definido? Deixe 0 — o dashboard mostra quanto dá para juntar no ritmo atual.</t>
  </si>
  <si>
    <t>Meta</t>
  </si>
  <si>
    <t>Valor alvo</t>
  </si>
  <si>
    <t>Prazo (mês)</t>
  </si>
  <si>
    <t>Já guardado antes</t>
  </si>
  <si>
    <t>Começar em</t>
  </si>
  <si>
    <t>Meses</t>
  </si>
  <si>
    <t>Precisa guardar/mês</t>
  </si>
  <si>
    <t>Guardado até agora</t>
  </si>
  <si>
    <t>% atingido</t>
  </si>
  <si>
    <t>Falta</t>
  </si>
  <si>
    <t>Reserva do casal até dez/27</t>
  </si>
  <si>
    <t>Registro mensal: quanto vocês REALMENTE guardaram em cada meta</t>
  </si>
  <si>
    <t>TOTAL GUARDADO NO MÊS</t>
  </si>
  <si>
    <t>Configurações</t>
  </si>
  <si>
    <t>Células AMARELAS com texto AZUL = você preenche/edita. O resto é fórmula (não apague).</t>
  </si>
  <si>
    <t>Parâmetro</t>
  </si>
  <si>
    <t>Observação</t>
  </si>
  <si>
    <t>% da sobra para GUARDAR (meta)</t>
  </si>
  <si>
    <t>Regra de divisão do que sobra depois de todas as contas.</t>
  </si>
  <si>
    <t>% da sobra para RESERVA de novas coisas</t>
  </si>
  <si>
    <t>Colchão para compras novas, imprevistos, presentes...</t>
  </si>
  <si>
    <t>% da sobra LIVRE para gastar</t>
  </si>
  <si>
    <t>Calculado: 100% menos os dois acima.</t>
  </si>
  <si>
    <t>Alerta: comprometimento máximo saudável</t>
  </si>
  <si>
    <t>Acima disso (em % da receita) o mês fica em ALERTA.</t>
  </si>
  <si>
    <t>Pessoas (usadas na aba Compras Cartão)</t>
  </si>
  <si>
    <t>Jessica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</si>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</sst>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[Red]\-0.0%;&quot;-&quot;"/>
    <numFmt numFmtId="166" formatCode="\R\$\ #,##0.00;[Red]\-\R\$\ #,##0.00;&quot;-&quot;"/>
    <numFmt numFmtId="167" formatCode="mmm/yy;;"/>
  </numFmts>
  <fonts count="10" x14ac:knownFonts="1">
    <font>
      <sz val="11"/>
      <color theme="1"/>
      <name val="Calibri"/>
      <family val="2"/>
      <scheme val="minor"/>
    </font>
    <font>
      <b/>
      <sz val="16"/>
      <color rgb="FF3B1F5C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b/>
      <sz val="12"/>
      <name val="Arial"/>
    </font>
    <font>
      <sz val="9"/>
      <color rgb="FF666666"/>
      <name val="Arial"/>
    </font>
    <font>
      <b/>
      <sz val="15"/>
      <color rgb="FF3B1F5C"/>
      <name val="Arial"/>
    </font>
  </fonts>
  <fills count="5">
    <fill>
      <patternFill patternType="none"/>
    </fill>
    <fill>
      <patternFill patternType="gray125"/>
    </fill>
    <fill>
      <patternFill patternType="solid">
        <fgColor rgb="FF3B1F5C"/>
      </patternFill>
    </fill>
    <fill>
      <patternFill patternType="solid">
        <fgColor rgb="FFFFF7CC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17" fontId="5" fillId="3" borderId="1" xfId="0" applyNumberFormat="1" applyFont="1" applyFill="1" applyBorder="1"/>
    <xf numFmtId="0" fontId="7" fillId="0" borderId="0" xfId="0" applyFont="1"/>
    <xf numFmtId="0" fontId="8" fillId="0" borderId="0" xfId="0" applyFont="1"/>
    <xf numFmtId="166" fontId="9" fillId="0" borderId="0" xfId="0" applyNumberFormat="1" applyFont="1"/>
    <xf numFmtId="164" fontId="9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166" fontId="4" fillId="0" borderId="1" xfId="0" applyNumberFormat="1" applyFont="1" applyBorder="1"/>
    <xf numFmtId="164" fontId="4" fillId="0" borderId="1" xfId="0" applyNumberFormat="1" applyFont="1" applyBorder="1"/>
    <xf numFmtId="17" fontId="6" fillId="0" borderId="1" xfId="0" applyNumberFormat="1" applyFont="1" applyBorder="1"/>
    <xf numFmtId="166" fontId="6" fillId="0" borderId="1" xfId="0" applyNumberFormat="1" applyFont="1" applyBorder="1"/>
    <xf numFmtId="49" fontId="4" fillId="0" borderId="1" xfId="0" applyNumberFormat="1" applyFont="1" applyBorder="1"/>
    <xf numFmtId="166" fontId="6" fillId="4" borderId="1" xfId="0" applyNumberFormat="1" applyFont="1" applyFill="1" applyBorder="1"/>
    <xf numFmtId="164" fontId="6" fillId="4" borderId="1" xfId="0" applyNumberFormat="1" applyFont="1" applyFill="1" applyBorder="1"/>
    <xf numFmtId="17" fontId="3" fillId="2" borderId="0" xfId="0" applyNumberFormat="1" applyFont="1" applyFill="1" applyAlignment="1">
      <alignment horizontal="center" vertical="center" wrapText="1"/>
    </xf>
    <xf numFmtId="166" fontId="5" fillId="3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1" fontId="5" fillId="3" borderId="1" xfId="0" applyNumberFormat="1" applyFont="1" applyFill="1" applyBorder="1"/>
    <xf numFmtId="167" fontId="4" fillId="0" borderId="1" xfId="0" applyNumberFormat="1" applyFont="1" applyBorder="1"/>
    <xf numFmtId="1" fontId="4" fillId="0" borderId="1" xfId="0" applyNumberFormat="1" applyFont="1" applyBorder="1"/>
    <xf numFmtId="164" fontId="5" fillId="3" borderId="1" xfId="0" applyNumberFormat="1" applyFont="1" applyFill="1" applyBorder="1"/>
    <xf numFmtId="164" fontId="6" fillId="0" borderId="1" xfId="0" applyNumberFormat="1" applyFont="1" applyBorder="1"/>
  </cellXfs>
  <cellStyles count="1">
    <cellStyle name="Normal" xfId="0" builtinId="0"/>
  </cellStyles>
  <dxfs count="8">
    <dxf>
      <font>
        <b/>
        <color rgb="FF1E6B3A"/>
        <name val="Arial"/>
      </font>
      <fill>
        <patternFill patternType="solid">
          <fgColor rgb="FFE3F4E8"/>
        </patternFill>
      </fill>
    </dxf>
    <dxf>
      <font>
        <b/>
        <color rgb="FF8A5300"/>
        <name val="Arial"/>
      </font>
      <fill>
        <patternFill patternType="solid">
          <fgColor rgb="FFFFF1D6"/>
        </patternFill>
      </fill>
    </dxf>
    <dxf>
      <font>
        <b/>
        <color rgb="FF8A5300"/>
        <name val="Arial"/>
      </font>
      <fill>
        <patternFill patternType="solid">
          <fgColor rgb="FFFFF1D6"/>
        </patternFill>
      </fill>
    </dxf>
    <dxf>
      <font>
        <b/>
        <color rgb="FFB3261E"/>
        <name val="Arial"/>
      </font>
      <fill>
        <patternFill patternType="solid">
          <fgColor rgb="FFFDE2E2"/>
        </patternFill>
      </fill>
    </dxf>
    <dxf>
      <font>
        <b/>
        <color rgb="FF1E6B3A"/>
        <name val="Arial"/>
      </font>
      <fill>
        <patternFill patternType="solid">
          <fgColor rgb="FFE3F4E8"/>
        </patternFill>
      </fill>
    </dxf>
    <dxf>
      <font>
        <b/>
        <color rgb="FF8A5300"/>
        <name val="Arial"/>
      </font>
      <fill>
        <patternFill patternType="solid">
          <fgColor rgb="FFFFF1D6"/>
        </patternFill>
      </fill>
    </dxf>
    <dxf>
      <font>
        <b/>
        <color rgb="FF8A5300"/>
        <name val="Arial"/>
      </font>
      <fill>
        <patternFill patternType="solid">
          <fgColor rgb="FFFFF1D6"/>
        </patternFill>
      </fill>
    </dxf>
    <dxf>
      <font>
        <b/>
        <color rgb="FFB3261E"/>
        <name val="Arial"/>
      </font>
      <fill>
        <patternFill patternType="solid">
          <fgColor rgb="FFFD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Comprometido x Receita por mês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Resumo!$C$4</c:f>
              <c:strCache>
                <c:ptCount val="1"/>
                <c:pt idx="0">
                  <c:v>Contas fixas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Resumo!$C$5:$C$19</c:f>
              <c:numCache>
                <c:formatCode>\R\$\ #,##0.00;[Red]\-\R\$\ #,##0.00;"-"</c:formatCode>
                <c:ptCount val="15"/>
                <c:pt idx="0">
                  <c:v>2469.23</c:v>
                </c:pt>
                <c:pt idx="1">
                  <c:v>2469.23</c:v>
                </c:pt>
                <c:pt idx="2">
                  <c:v>2409.23</c:v>
                </c:pt>
                <c:pt idx="3">
                  <c:v>2409.23</c:v>
                </c:pt>
                <c:pt idx="4">
                  <c:v>2409.23</c:v>
                </c:pt>
                <c:pt idx="5">
                  <c:v>2409.23</c:v>
                </c:pt>
                <c:pt idx="6">
                  <c:v>2409.23</c:v>
                </c:pt>
                <c:pt idx="7">
                  <c:v>2409.23</c:v>
                </c:pt>
                <c:pt idx="8">
                  <c:v>2409.23</c:v>
                </c:pt>
                <c:pt idx="9">
                  <c:v>2409.23</c:v>
                </c:pt>
                <c:pt idx="10">
                  <c:v>2409.23</c:v>
                </c:pt>
                <c:pt idx="11">
                  <c:v>2409.23</c:v>
                </c:pt>
                <c:pt idx="12">
                  <c:v>2409.23</c:v>
                </c:pt>
                <c:pt idx="13">
                  <c:v>2409.23</c:v>
                </c:pt>
                <c:pt idx="14">
                  <c:v>2409.23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2-45C7-8C25-99C8464C5A86}"/>
            </c:ext>
          </c:extLst>
        </c:ser>
        <c:ser>
          <c:idx val="1"/>
          <c:order val="1"/>
          <c:tx>
            <c:strRef>
              <c:f>Resumo!$D$4</c:f>
              <c:strCache>
                <c:ptCount val="1"/>
                <c:pt idx="0">
                  <c:v>Cartão (parcelas antigas)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Resumo!$D$5:$D$19</c:f>
              <c:numCache>
                <c:formatCode>\R\$\ #,##0.00;[Red]\-\R\$\ #,##0.00;"-"</c:formatCode>
                <c:ptCount val="15"/>
                <c:pt idx="0">
                  <c:v>6583.99</c:v>
                </c:pt>
                <c:pt idx="1">
                  <c:v>2372</c:v>
                </c:pt>
                <c:pt idx="2">
                  <c:v>1487.5</c:v>
                </c:pt>
                <c:pt idx="3">
                  <c:v>1042.78</c:v>
                </c:pt>
                <c:pt idx="4">
                  <c:v>704.13</c:v>
                </c:pt>
                <c:pt idx="5">
                  <c:v>666.44999999999993</c:v>
                </c:pt>
                <c:pt idx="6">
                  <c:v>540.62</c:v>
                </c:pt>
                <c:pt idx="7">
                  <c:v>540.62</c:v>
                </c:pt>
                <c:pt idx="8">
                  <c:v>75.47999999999999</c:v>
                </c:pt>
                <c:pt idx="9">
                  <c:v>23.07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2-45C7-8C25-99C8464C5A86}"/>
            </c:ext>
          </c:extLst>
        </c:ser>
        <c:ser>
          <c:idx val="2"/>
          <c:order val="2"/>
          <c:tx>
            <c:strRef>
              <c:f>Resumo!$E$4</c:f>
              <c:strCache>
                <c:ptCount val="1"/>
                <c:pt idx="0">
                  <c:v>Cartão (compras novas)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Resumo!$E$5:$E$19</c:f>
              <c:numCache>
                <c:formatCode>\R\$\ #,##0.00;[Red]\-\R\$\ #,##0.00;"-"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2-45C7-8C25-99C8464C5A86}"/>
            </c:ext>
          </c:extLst>
        </c:ser>
        <c:ser>
          <c:idx val="3"/>
          <c:order val="3"/>
          <c:tx>
            <c:strRef>
              <c:f>Resumo!$F$4</c:f>
              <c:strCache>
                <c:ptCount val="1"/>
                <c:pt idx="0">
                  <c:v>Mercado (do salário)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Resumo!$F$5:$F$19</c:f>
              <c:numCache>
                <c:formatCode>\R\$\ #,##0.00;[Red]\-\R\$\ #,##0.00;"-"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72-45C7-8C25-99C8464C5A86}"/>
            </c:ext>
          </c:extLst>
        </c:ser>
        <c:ser>
          <c:idx val="4"/>
          <c:order val="4"/>
          <c:tx>
            <c:strRef>
              <c:f>Resumo!$G$4</c:f>
              <c:strCache>
                <c:ptCount val="1"/>
                <c:pt idx="0">
                  <c:v>Provisões IPTU/IPVA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Resumo!$G$5:$G$19</c:f>
              <c:numCache>
                <c:formatCode>\R\$\ #,##0.00;[Red]\-\R\$\ #,##0.00;"-"</c:formatCode>
                <c:ptCount val="15"/>
                <c:pt idx="0">
                  <c:v>0</c:v>
                </c:pt>
                <c:pt idx="1">
                  <c:v>316.66666666666669</c:v>
                </c:pt>
                <c:pt idx="2">
                  <c:v>316.66666666666669</c:v>
                </c:pt>
                <c:pt idx="3">
                  <c:v>316.66666666666669</c:v>
                </c:pt>
                <c:pt idx="4">
                  <c:v>200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72-45C7-8C25-99C8464C5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5"/>
          <c:order val="5"/>
          <c:tx>
            <c:strRef>
              <c:f>Resumo!$B$4</c:f>
              <c:strCache>
                <c:ptCount val="1"/>
                <c:pt idx="0">
                  <c:v>Receita p/ contas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Resumo!$B$5:$B$19</c:f>
              <c:numCache>
                <c:formatCode>\R\$\ #,##0.00;[Red]\-\R\$\ #,##0.00;"-"</c:formatCode>
                <c:ptCount val="15"/>
                <c:pt idx="0">
                  <c:v>5700</c:v>
                </c:pt>
                <c:pt idx="1">
                  <c:v>5700</c:v>
                </c:pt>
                <c:pt idx="2">
                  <c:v>5700</c:v>
                </c:pt>
                <c:pt idx="3">
                  <c:v>5700</c:v>
                </c:pt>
                <c:pt idx="4">
                  <c:v>5700</c:v>
                </c:pt>
                <c:pt idx="5">
                  <c:v>5700</c:v>
                </c:pt>
                <c:pt idx="6">
                  <c:v>5700</c:v>
                </c:pt>
                <c:pt idx="7">
                  <c:v>5700</c:v>
                </c:pt>
                <c:pt idx="8">
                  <c:v>5700</c:v>
                </c:pt>
                <c:pt idx="9">
                  <c:v>5700</c:v>
                </c:pt>
                <c:pt idx="10">
                  <c:v>5700</c:v>
                </c:pt>
                <c:pt idx="11">
                  <c:v>5700</c:v>
                </c:pt>
                <c:pt idx="12">
                  <c:v>5700</c:v>
                </c:pt>
                <c:pt idx="13">
                  <c:v>5700</c:v>
                </c:pt>
                <c:pt idx="14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872-45C7-8C25-99C8464C5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Sobra do mês e saldo acumulado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Resumo!$I$4</c:f>
              <c:strCache>
                <c:ptCount val="1"/>
                <c:pt idx="0">
                  <c:v>SOBRA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Resumo!$I$5:$I$19</c:f>
              <c:numCache>
                <c:formatCode>\R\$\ #,##0.00;[Red]\-\R\$\ #,##0.00;"-"</c:formatCode>
                <c:ptCount val="15"/>
                <c:pt idx="0">
                  <c:v>-3353.2199999999993</c:v>
                </c:pt>
                <c:pt idx="1">
                  <c:v>542.10333333333347</c:v>
                </c:pt>
                <c:pt idx="2">
                  <c:v>1486.6033333333335</c:v>
                </c:pt>
                <c:pt idx="3">
                  <c:v>1931.3233333333333</c:v>
                </c:pt>
                <c:pt idx="4">
                  <c:v>2386.64</c:v>
                </c:pt>
                <c:pt idx="5">
                  <c:v>2624.32</c:v>
                </c:pt>
                <c:pt idx="6">
                  <c:v>2750.15</c:v>
                </c:pt>
                <c:pt idx="7">
                  <c:v>2750.15</c:v>
                </c:pt>
                <c:pt idx="8">
                  <c:v>3215.29</c:v>
                </c:pt>
                <c:pt idx="9">
                  <c:v>3267.7</c:v>
                </c:pt>
                <c:pt idx="10">
                  <c:v>3290.77</c:v>
                </c:pt>
                <c:pt idx="11">
                  <c:v>3290.77</c:v>
                </c:pt>
                <c:pt idx="12">
                  <c:v>3290.77</c:v>
                </c:pt>
                <c:pt idx="13">
                  <c:v>3290.77</c:v>
                </c:pt>
                <c:pt idx="14">
                  <c:v>3290.77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DA-4CA3-96F5-156DD317CFE5}"/>
            </c:ext>
          </c:extLst>
        </c:ser>
        <c:ser>
          <c:idx val="1"/>
          <c:order val="1"/>
          <c:tx>
            <c:strRef>
              <c:f>Resumo!$O$4</c:f>
              <c:strCache>
                <c:ptCount val="1"/>
                <c:pt idx="0">
                  <c:v>Saldo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Resumo!$O$5:$O$19</c:f>
              <c:numCache>
                <c:formatCode>\R\$\ #,##0.00;[Red]\-\R\$\ #,##0.00;"-"</c:formatCode>
                <c:ptCount val="15"/>
                <c:pt idx="0">
                  <c:v>-3353.2199999999993</c:v>
                </c:pt>
                <c:pt idx="1">
                  <c:v>-2811.1166666666659</c:v>
                </c:pt>
                <c:pt idx="2">
                  <c:v>-1324.5133333333324</c:v>
                </c:pt>
                <c:pt idx="3">
                  <c:v>606.81000000000085</c:v>
                </c:pt>
                <c:pt idx="4">
                  <c:v>2993.4500000000007</c:v>
                </c:pt>
                <c:pt idx="5">
                  <c:v>5617.77</c:v>
                </c:pt>
                <c:pt idx="6">
                  <c:v>8367.92</c:v>
                </c:pt>
                <c:pt idx="7">
                  <c:v>11118.07</c:v>
                </c:pt>
                <c:pt idx="8">
                  <c:v>14333.36</c:v>
                </c:pt>
                <c:pt idx="9">
                  <c:v>17601.060000000001</c:v>
                </c:pt>
                <c:pt idx="10">
                  <c:v>20891.830000000002</c:v>
                </c:pt>
                <c:pt idx="11">
                  <c:v>24182.600000000002</c:v>
                </c:pt>
                <c:pt idx="12">
                  <c:v>27473.370000000003</c:v>
                </c:pt>
                <c:pt idx="13">
                  <c:v>30764.140000000003</c:v>
                </c:pt>
                <c:pt idx="14">
                  <c:v>34054.910000000003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DA-4CA3-96F5-156DD317C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Livre p/ gastar por mês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Resumo!$N$4</c:f>
              <c:strCache>
                <c:ptCount val="1"/>
                <c:pt idx="0">
                  <c:v>LIVRE p/ gastar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Resumo!$A$5:$A$19</c:f>
              <c:numCache>
                <c:formatCode>mmm\-yy</c:formatCode>
                <c:ptCount val="15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</c:numCache>
            </c:numRef>
          </c:cat>
          <c:val>
            <c:numRef>
              <c:f>Resumo!$N$5:$N$19</c:f>
              <c:numCache>
                <c:formatCode>\R\$\ #,##0.00;[Red]\-\R\$\ #,##0.00;"-"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303.40500000000037</c:v>
                </c:pt>
                <c:pt idx="4">
                  <c:v>1193.3199999999997</c:v>
                </c:pt>
                <c:pt idx="5">
                  <c:v>1312.1599999999999</c:v>
                </c:pt>
                <c:pt idx="6">
                  <c:v>1375.0749999999998</c:v>
                </c:pt>
                <c:pt idx="7">
                  <c:v>1375.0749999999998</c:v>
                </c:pt>
                <c:pt idx="8">
                  <c:v>1607.6449999999998</c:v>
                </c:pt>
                <c:pt idx="9">
                  <c:v>1633.8499999999997</c:v>
                </c:pt>
                <c:pt idx="10">
                  <c:v>1645.3849999999998</c:v>
                </c:pt>
                <c:pt idx="11">
                  <c:v>1645.3849999999998</c:v>
                </c:pt>
                <c:pt idx="12">
                  <c:v>1645.3849999999998</c:v>
                </c:pt>
                <c:pt idx="13">
                  <c:v>1645.3849999999998</c:v>
                </c:pt>
                <c:pt idx="14">
                  <c:v>1645.3849999999998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3-4183-ABEA-BC641B17F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\R\$\ #,##0.00;[Red]\-\R\$\ #,##0.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31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1F5C"/>
  </sheetPr>
  <dimension ref="A1:G25"/>
  <sheetViews>
    <sheetView showGridLines="0" tabSelected="1" workbookViewId="0"/>
  </sheetViews>
  <sheetFormatPr defaultRowHeight="15" x14ac:dyDescent="0.25"/>
  <cols>
    <col min="1" max="1" width="26" customWidth="1"/>
    <col min="2" max="2" width="17" customWidth="1"/>
    <col min="3" max="3" width="13" customWidth="1"/>
    <col min="4" max="4" width="17" customWidth="1"/>
    <col min="5" max="5" width="13" customWidth="1"/>
    <col min="6" max="6" width="17" customWidth="1"/>
    <col min="7" max="7" width="13" customWidth="1"/>
    <col min="8" max="8" width="17" customWidth="1"/>
  </cols>
  <sheetData>
    <row r="1" spans="1:7" ht="20.25" x14ac:dyDescent="0.3">
      <c r="A1" s="1" t="s">
        <v>0</v>
      </c>
    </row>
    <row r="2" spans="1:7" x14ac:dyDescent="0.25">
      <c r="A2" s="2" t="s">
        <v>1</v>
      </c>
    </row>
    <row r="4" spans="1:7" ht="15.75" x14ac:dyDescent="0.25">
      <c r="A4" s="3" t="s">
        <v>2</v>
      </c>
      <c r="B4" s="4">
        <v>46296</v>
      </c>
      <c r="D4" s="5" t="str">
        <f>INDEX(Resumo!$S$5:$S$19,MATCH($B$4,Resumo!$A$5:$A$19,0))</f>
        <v>NO VERMELHO</v>
      </c>
    </row>
    <row r="6" spans="1:7" x14ac:dyDescent="0.25">
      <c r="A6" s="6" t="s">
        <v>3</v>
      </c>
      <c r="C6" s="6" t="s">
        <v>4</v>
      </c>
      <c r="E6" s="6" t="s">
        <v>5</v>
      </c>
      <c r="G6" s="6" t="s">
        <v>6</v>
      </c>
    </row>
    <row r="7" spans="1:7" ht="19.5" x14ac:dyDescent="0.3">
      <c r="A7" s="7">
        <f>INDEX(Resumo!$B$5:$B$19,MATCH($B$4,Resumo!$A$5:$A$19,0))</f>
        <v>5700</v>
      </c>
      <c r="C7" s="7">
        <f>INDEX(Resumo!$H$5:$H$19,MATCH($B$4,Resumo!$A$5:$A$19,0))</f>
        <v>9053.2199999999993</v>
      </c>
      <c r="E7" s="7">
        <f>INDEX(Resumo!$I$5:$I$19,MATCH($B$4,Resumo!$A$5:$A$19,0))</f>
        <v>-3353.2199999999993</v>
      </c>
      <c r="G7" s="8">
        <f>INDEX(Resumo!$J$5:$J$19,MATCH($B$4,Resumo!$A$5:$A$19,0))</f>
        <v>1.5882842105263157</v>
      </c>
    </row>
    <row r="9" spans="1:7" x14ac:dyDescent="0.25">
      <c r="A9" s="6" t="s">
        <v>7</v>
      </c>
      <c r="C9" s="6" t="s">
        <v>8</v>
      </c>
      <c r="E9" s="6" t="s">
        <v>9</v>
      </c>
      <c r="G9" s="6" t="s">
        <v>10</v>
      </c>
    </row>
    <row r="10" spans="1:7" ht="19.5" x14ac:dyDescent="0.3">
      <c r="A10" s="7">
        <f>INDEX(Resumo!$L$5:$L$19,MATCH($B$4,Resumo!$A$5:$A$19,0))</f>
        <v>0</v>
      </c>
      <c r="C10" s="7">
        <f>INDEX(Resumo!$M$5:$M$19,MATCH($B$4,Resumo!$A$5:$A$19,0))</f>
        <v>0</v>
      </c>
      <c r="E10" s="7">
        <f>INDEX(Resumo!$N$5:$N$19,MATCH($B$4,Resumo!$A$5:$A$19,0))</f>
        <v>0</v>
      </c>
      <c r="G10" s="7">
        <f>INDEX(Resumo!$O$5:$O$19,MATCH($B$4,Resumo!$A$5:$A$19,0))</f>
        <v>-3353.2199999999993</v>
      </c>
    </row>
    <row r="13" spans="1:7" x14ac:dyDescent="0.25">
      <c r="A13" s="3" t="s">
        <v>11</v>
      </c>
    </row>
    <row r="14" spans="1:7" ht="30" x14ac:dyDescent="0.25">
      <c r="A14" s="9" t="s">
        <v>12</v>
      </c>
      <c r="B14" s="9" t="s">
        <v>13</v>
      </c>
      <c r="C14" s="9" t="s">
        <v>14</v>
      </c>
    </row>
    <row r="15" spans="1:7" x14ac:dyDescent="0.25">
      <c r="A15" s="10" t="s">
        <v>15</v>
      </c>
      <c r="B15" s="11">
        <f>INDEX(Resumo!$C$5:$C$19,MATCH($B$4,Resumo!$A$5:$A$19,0))</f>
        <v>2469.23</v>
      </c>
      <c r="C15" s="12">
        <f t="shared" ref="C15:C23" si="0">IF($A$7=0,0,B15/$A$7)</f>
        <v>0.43319824561403508</v>
      </c>
    </row>
    <row r="16" spans="1:7" x14ac:dyDescent="0.25">
      <c r="A16" s="10" t="s">
        <v>16</v>
      </c>
      <c r="B16" s="11">
        <f>INDEX(Resumo!$D$5:$D$19,MATCH($B$4,Resumo!$A$5:$A$19,0))</f>
        <v>6583.99</v>
      </c>
      <c r="C16" s="12">
        <f t="shared" si="0"/>
        <v>1.1550859649122807</v>
      </c>
    </row>
    <row r="17" spans="1:3" x14ac:dyDescent="0.25">
      <c r="A17" s="10" t="s">
        <v>17</v>
      </c>
      <c r="B17" s="11">
        <f>INDEX(Resumo!$E$5:$E$19,MATCH($B$4,Resumo!$A$5:$A$19,0))</f>
        <v>0</v>
      </c>
      <c r="C17" s="12">
        <f t="shared" si="0"/>
        <v>0</v>
      </c>
    </row>
    <row r="18" spans="1:3" x14ac:dyDescent="0.25">
      <c r="A18" s="10" t="s">
        <v>18</v>
      </c>
      <c r="B18" s="11">
        <f>INDEX(Resumo!$F$5:$F$19,MATCH($B$4,Resumo!$A$5:$A$19,0))</f>
        <v>0</v>
      </c>
      <c r="C18" s="12">
        <f t="shared" si="0"/>
        <v>0</v>
      </c>
    </row>
    <row r="19" spans="1:3" x14ac:dyDescent="0.25">
      <c r="A19" s="10" t="s">
        <v>19</v>
      </c>
      <c r="B19" s="11">
        <f>INDEX(Resumo!$G$5:$G$19,MATCH($B$4,Resumo!$A$5:$A$19,0))</f>
        <v>0</v>
      </c>
      <c r="C19" s="12">
        <f t="shared" si="0"/>
        <v>0</v>
      </c>
    </row>
    <row r="20" spans="1:3" x14ac:dyDescent="0.25">
      <c r="A20" s="10" t="s">
        <v>20</v>
      </c>
      <c r="B20" s="11">
        <f>INDEX(Resumo!$K$5:$K$19,MATCH($B$4,Resumo!$A$5:$A$19,0))</f>
        <v>0</v>
      </c>
      <c r="C20" s="12">
        <f t="shared" si="0"/>
        <v>0</v>
      </c>
    </row>
    <row r="21" spans="1:3" x14ac:dyDescent="0.25">
      <c r="A21" s="10" t="s">
        <v>7</v>
      </c>
      <c r="B21" s="11">
        <f>INDEX(Resumo!$L$5:$L$19,MATCH($B$4,Resumo!$A$5:$A$19,0))</f>
        <v>0</v>
      </c>
      <c r="C21" s="12">
        <f t="shared" si="0"/>
        <v>0</v>
      </c>
    </row>
    <row r="22" spans="1:3" x14ac:dyDescent="0.25">
      <c r="A22" s="10" t="s">
        <v>8</v>
      </c>
      <c r="B22" s="11">
        <f>INDEX(Resumo!$M$5:$M$19,MATCH($B$4,Resumo!$A$5:$A$19,0))</f>
        <v>0</v>
      </c>
      <c r="C22" s="12">
        <f t="shared" si="0"/>
        <v>0</v>
      </c>
    </row>
    <row r="23" spans="1:3" x14ac:dyDescent="0.25">
      <c r="A23" s="10" t="s">
        <v>21</v>
      </c>
      <c r="B23" s="11">
        <f>INDEX(Resumo!$N$5:$N$19,MATCH($B$4,Resumo!$A$5:$A$19,0))</f>
        <v>0</v>
      </c>
      <c r="C23" s="12">
        <f t="shared" si="0"/>
        <v>0</v>
      </c>
    </row>
    <row r="25" spans="1:3" x14ac:dyDescent="0.25">
      <c r="A25" s="2" t="s">
        <v>22</v>
      </c>
    </row>
  </sheetData>
  <conditionalFormatting sqref="B15:B23">
    <cfRule type="dataBar" priority="5">
      <dataBar>
        <cfvo type="num" val="0"/>
        <cfvo type="max"/>
        <color rgb="FF9575CD"/>
      </dataBar>
    </cfRule>
  </conditionalFormatting>
  <conditionalFormatting sqref="D4">
    <cfRule type="cellIs" dxfId="7" priority="1" operator="equal">
      <formula>"NO VERMELHO"</formula>
    </cfRule>
    <cfRule type="cellIs" dxfId="6" priority="2" operator="equal">
      <formula>"PAGANDO BURACO"</formula>
    </cfRule>
    <cfRule type="cellIs" dxfId="5" priority="3" operator="equal">
      <formula>"ALERTA"</formula>
    </cfRule>
    <cfRule type="cellIs" dxfId="4" priority="4" operator="equal">
      <formula>"OK"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Resumo!$A$5:$A$19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E57C2"/>
  </sheetPr>
  <dimension ref="A1:S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19" width="15" customWidth="1"/>
  </cols>
  <sheetData>
    <row r="1" spans="1:19" ht="20.25" x14ac:dyDescent="0.3">
      <c r="A1" s="1" t="s">
        <v>23</v>
      </c>
    </row>
    <row r="2" spans="1:19" x14ac:dyDescent="0.25">
      <c r="A2" s="2" t="s">
        <v>24</v>
      </c>
    </row>
    <row r="4" spans="1:19" ht="36" customHeight="1" x14ac:dyDescent="0.25">
      <c r="A4" s="9" t="s">
        <v>25</v>
      </c>
      <c r="B4" s="9" t="s">
        <v>3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26</v>
      </c>
      <c r="I4" s="9" t="s">
        <v>5</v>
      </c>
      <c r="J4" s="9" t="s">
        <v>6</v>
      </c>
      <c r="K4" s="9" t="s">
        <v>20</v>
      </c>
      <c r="L4" s="9" t="s">
        <v>7</v>
      </c>
      <c r="M4" s="9" t="s">
        <v>8</v>
      </c>
      <c r="N4" s="9" t="s">
        <v>9</v>
      </c>
      <c r="O4" s="9" t="s">
        <v>10</v>
      </c>
      <c r="P4" s="9" t="s">
        <v>27</v>
      </c>
      <c r="Q4" s="9" t="s">
        <v>28</v>
      </c>
      <c r="R4" s="9" t="s">
        <v>29</v>
      </c>
      <c r="S4" s="9" t="s">
        <v>30</v>
      </c>
    </row>
    <row r="5" spans="1:19" x14ac:dyDescent="0.25">
      <c r="A5" s="13">
        <v>46296</v>
      </c>
      <c r="B5" s="11">
        <f>Receitas!D11</f>
        <v>5700</v>
      </c>
      <c r="C5" s="11">
        <f>'Contas Fixas'!D25</f>
        <v>2469.23</v>
      </c>
      <c r="D5" s="11">
        <f>Cartão!D5+Cartão!D6</f>
        <v>6583.99</v>
      </c>
      <c r="E5" s="11">
        <f>Cartão!D7+Cartão!D8</f>
        <v>0</v>
      </c>
      <c r="F5" s="11">
        <f>'Mercado &amp; Alelo'!D8</f>
        <v>0</v>
      </c>
      <c r="G5" s="11">
        <f>Provisões!B24</f>
        <v>0</v>
      </c>
      <c r="H5" s="14">
        <f t="shared" ref="H5:H19" si="0">SUM(C5:G5)</f>
        <v>9053.2199999999993</v>
      </c>
      <c r="I5" s="14">
        <f t="shared" ref="I5:I19" si="1">B5-H5</f>
        <v>-3353.2199999999993</v>
      </c>
      <c r="J5" s="12">
        <f t="shared" ref="J5:J20" si="2">IF(B5=0,0,H5/B5)</f>
        <v>1.5882842105263157</v>
      </c>
      <c r="K5" s="11">
        <f>0</f>
        <v>0</v>
      </c>
      <c r="L5" s="11">
        <f>MAX(0,I5-K5)*Config!$B$5</f>
        <v>0</v>
      </c>
      <c r="M5" s="11">
        <f>MAX(0,I5-K5)*Config!$B$6</f>
        <v>0</v>
      </c>
      <c r="N5" s="14">
        <f>MAX(0,I5-K5)*Config!$B$7</f>
        <v>0</v>
      </c>
      <c r="O5" s="11">
        <f>I5</f>
        <v>-3353.2199999999993</v>
      </c>
      <c r="P5" s="11">
        <f>Metas!B20</f>
        <v>0</v>
      </c>
      <c r="Q5" s="11">
        <f>'Mercado &amp; Alelo'!D6</f>
        <v>0</v>
      </c>
      <c r="R5" s="11">
        <f>Receitas!D10</f>
        <v>0</v>
      </c>
      <c r="S5" s="15" t="str">
        <f>IF(I5&lt;0,"NO VERMELHO",IF(K5&gt;0,"PAGANDO BURACO",IF(J5&gt;Config!$B$8,"ALERTA","OK")))</f>
        <v>NO VERMELHO</v>
      </c>
    </row>
    <row r="6" spans="1:19" x14ac:dyDescent="0.25">
      <c r="A6" s="13">
        <v>46327</v>
      </c>
      <c r="B6" s="11">
        <f>Receitas!E11</f>
        <v>5700</v>
      </c>
      <c r="C6" s="11">
        <f>'Contas Fixas'!E25</f>
        <v>2469.23</v>
      </c>
      <c r="D6" s="11">
        <f>Cartão!E5+Cartão!E6</f>
        <v>2372</v>
      </c>
      <c r="E6" s="11">
        <f>Cartão!E7+Cartão!E8</f>
        <v>0</v>
      </c>
      <c r="F6" s="11">
        <f>'Mercado &amp; Alelo'!E8</f>
        <v>0</v>
      </c>
      <c r="G6" s="11">
        <f>Provisões!C24</f>
        <v>316.66666666666669</v>
      </c>
      <c r="H6" s="14">
        <f t="shared" si="0"/>
        <v>5157.8966666666665</v>
      </c>
      <c r="I6" s="14">
        <f t="shared" si="1"/>
        <v>542.10333333333347</v>
      </c>
      <c r="J6" s="12">
        <f t="shared" si="2"/>
        <v>0.90489415204678358</v>
      </c>
      <c r="K6" s="11">
        <f t="shared" ref="K6:K19" si="3">IF(AND(I6&gt;0,O5&lt;0),MIN(I6,-O5),0)</f>
        <v>542.10333333333347</v>
      </c>
      <c r="L6" s="11">
        <f>MAX(0,I6-K6)*Config!$B$5</f>
        <v>0</v>
      </c>
      <c r="M6" s="11">
        <f>MAX(0,I6-K6)*Config!$B$6</f>
        <v>0</v>
      </c>
      <c r="N6" s="14">
        <f>MAX(0,I6-K6)*Config!$B$7</f>
        <v>0</v>
      </c>
      <c r="O6" s="11">
        <f t="shared" ref="O6:O19" si="4">O5+I6</f>
        <v>-2811.1166666666659</v>
      </c>
      <c r="P6" s="11">
        <f>Metas!C20</f>
        <v>0</v>
      </c>
      <c r="Q6" s="11">
        <f>'Mercado &amp; Alelo'!E6</f>
        <v>0</v>
      </c>
      <c r="R6" s="11">
        <f>Receitas!E10</f>
        <v>0</v>
      </c>
      <c r="S6" s="15" t="str">
        <f>IF(I6&lt;0,"NO VERMELHO",IF(K6&gt;0,"PAGANDO BURACO",IF(J6&gt;Config!$B$8,"ALERTA","OK")))</f>
        <v>PAGANDO BURACO</v>
      </c>
    </row>
    <row r="7" spans="1:19" x14ac:dyDescent="0.25">
      <c r="A7" s="13">
        <v>46357</v>
      </c>
      <c r="B7" s="11">
        <f>Receitas!F11</f>
        <v>5700</v>
      </c>
      <c r="C7" s="11">
        <f>'Contas Fixas'!F25</f>
        <v>2409.23</v>
      </c>
      <c r="D7" s="11">
        <f>Cartão!F5+Cartão!F6</f>
        <v>1487.5</v>
      </c>
      <c r="E7" s="11">
        <f>Cartão!F7+Cartão!F8</f>
        <v>0</v>
      </c>
      <c r="F7" s="11">
        <f>'Mercado &amp; Alelo'!F8</f>
        <v>0</v>
      </c>
      <c r="G7" s="11">
        <f>Provisões!D24</f>
        <v>316.66666666666669</v>
      </c>
      <c r="H7" s="14">
        <f t="shared" si="0"/>
        <v>4213.3966666666665</v>
      </c>
      <c r="I7" s="14">
        <f t="shared" si="1"/>
        <v>1486.6033333333335</v>
      </c>
      <c r="J7" s="12">
        <f t="shared" si="2"/>
        <v>0.73919239766081868</v>
      </c>
      <c r="K7" s="11">
        <f t="shared" si="3"/>
        <v>1486.6033333333335</v>
      </c>
      <c r="L7" s="11">
        <f>MAX(0,I7-K7)*Config!$B$5</f>
        <v>0</v>
      </c>
      <c r="M7" s="11">
        <f>MAX(0,I7-K7)*Config!$B$6</f>
        <v>0</v>
      </c>
      <c r="N7" s="14">
        <f>MAX(0,I7-K7)*Config!$B$7</f>
        <v>0</v>
      </c>
      <c r="O7" s="11">
        <f t="shared" si="4"/>
        <v>-1324.5133333333324</v>
      </c>
      <c r="P7" s="11">
        <f>Metas!D20</f>
        <v>0</v>
      </c>
      <c r="Q7" s="11">
        <f>'Mercado &amp; Alelo'!F6</f>
        <v>0</v>
      </c>
      <c r="R7" s="11">
        <f>Receitas!F10</f>
        <v>0</v>
      </c>
      <c r="S7" s="15" t="str">
        <f>IF(I7&lt;0,"NO VERMELHO",IF(K7&gt;0,"PAGANDO BURACO",IF(J7&gt;Config!$B$8,"ALERTA","OK")))</f>
        <v>PAGANDO BURACO</v>
      </c>
    </row>
    <row r="8" spans="1:19" x14ac:dyDescent="0.25">
      <c r="A8" s="13">
        <v>46388</v>
      </c>
      <c r="B8" s="11">
        <f>Receitas!G11</f>
        <v>5700</v>
      </c>
      <c r="C8" s="11">
        <f>'Contas Fixas'!G25</f>
        <v>2409.23</v>
      </c>
      <c r="D8" s="11">
        <f>Cartão!G5+Cartão!G6</f>
        <v>1042.78</v>
      </c>
      <c r="E8" s="11">
        <f>Cartão!G7+Cartão!G8</f>
        <v>0</v>
      </c>
      <c r="F8" s="11">
        <f>'Mercado &amp; Alelo'!G8</f>
        <v>0</v>
      </c>
      <c r="G8" s="11">
        <f>Provisões!E24</f>
        <v>316.66666666666669</v>
      </c>
      <c r="H8" s="14">
        <f t="shared" si="0"/>
        <v>3768.6766666666667</v>
      </c>
      <c r="I8" s="14">
        <f t="shared" si="1"/>
        <v>1931.3233333333333</v>
      </c>
      <c r="J8" s="12">
        <f t="shared" si="2"/>
        <v>0.6611713450292398</v>
      </c>
      <c r="K8" s="11">
        <f t="shared" si="3"/>
        <v>1324.5133333333324</v>
      </c>
      <c r="L8" s="11">
        <f>MAX(0,I8-K8)*Config!$B$5</f>
        <v>182.04300000000026</v>
      </c>
      <c r="M8" s="11">
        <f>MAX(0,I8-K8)*Config!$B$6</f>
        <v>121.36200000000018</v>
      </c>
      <c r="N8" s="14">
        <f>MAX(0,I8-K8)*Config!$B$7</f>
        <v>303.40500000000037</v>
      </c>
      <c r="O8" s="11">
        <f t="shared" si="4"/>
        <v>606.81000000000085</v>
      </c>
      <c r="P8" s="11">
        <f>Metas!E20</f>
        <v>0</v>
      </c>
      <c r="Q8" s="11">
        <f>'Mercado &amp; Alelo'!G6</f>
        <v>0</v>
      </c>
      <c r="R8" s="11">
        <f>Receitas!G10</f>
        <v>0</v>
      </c>
      <c r="S8" s="15" t="str">
        <f>IF(I8&lt;0,"NO VERMELHO",IF(K8&gt;0,"PAGANDO BURACO",IF(J8&gt;Config!$B$8,"ALERTA","OK")))</f>
        <v>PAGANDO BURACO</v>
      </c>
    </row>
    <row r="9" spans="1:19" x14ac:dyDescent="0.25">
      <c r="A9" s="13">
        <v>46419</v>
      </c>
      <c r="B9" s="11">
        <f>Receitas!H11</f>
        <v>5700</v>
      </c>
      <c r="C9" s="11">
        <f>'Contas Fixas'!H25</f>
        <v>2409.23</v>
      </c>
      <c r="D9" s="11">
        <f>Cartão!H5+Cartão!H6</f>
        <v>704.13</v>
      </c>
      <c r="E9" s="11">
        <f>Cartão!H7+Cartão!H8</f>
        <v>0</v>
      </c>
      <c r="F9" s="11">
        <f>'Mercado &amp; Alelo'!H8</f>
        <v>0</v>
      </c>
      <c r="G9" s="11">
        <f>Provisões!F24</f>
        <v>200</v>
      </c>
      <c r="H9" s="14">
        <f t="shared" si="0"/>
        <v>3313.36</v>
      </c>
      <c r="I9" s="14">
        <f t="shared" si="1"/>
        <v>2386.64</v>
      </c>
      <c r="J9" s="12">
        <f t="shared" si="2"/>
        <v>0.58129122807017541</v>
      </c>
      <c r="K9" s="11">
        <f t="shared" si="3"/>
        <v>0</v>
      </c>
      <c r="L9" s="11">
        <f>MAX(0,I9-K9)*Config!$B$5</f>
        <v>715.99199999999996</v>
      </c>
      <c r="M9" s="11">
        <f>MAX(0,I9-K9)*Config!$B$6</f>
        <v>477.32799999999997</v>
      </c>
      <c r="N9" s="14">
        <f>MAX(0,I9-K9)*Config!$B$7</f>
        <v>1193.3199999999997</v>
      </c>
      <c r="O9" s="11">
        <f t="shared" si="4"/>
        <v>2993.4500000000007</v>
      </c>
      <c r="P9" s="11">
        <f>Metas!F20</f>
        <v>0</v>
      </c>
      <c r="Q9" s="11">
        <f>'Mercado &amp; Alelo'!H6</f>
        <v>0</v>
      </c>
      <c r="R9" s="11">
        <f>Receitas!H10</f>
        <v>0</v>
      </c>
      <c r="S9" s="15" t="str">
        <f>IF(I9&lt;0,"NO VERMELHO",IF(K9&gt;0,"PAGANDO BURACO",IF(J9&gt;Config!$B$8,"ALERTA","OK")))</f>
        <v>OK</v>
      </c>
    </row>
    <row r="10" spans="1:19" x14ac:dyDescent="0.25">
      <c r="A10" s="13">
        <v>46447</v>
      </c>
      <c r="B10" s="11">
        <f>Receitas!I11</f>
        <v>5700</v>
      </c>
      <c r="C10" s="11">
        <f>'Contas Fixas'!I25</f>
        <v>2409.23</v>
      </c>
      <c r="D10" s="11">
        <f>Cartão!I5+Cartão!I6</f>
        <v>666.44999999999993</v>
      </c>
      <c r="E10" s="11">
        <f>Cartão!I7+Cartão!I8</f>
        <v>0</v>
      </c>
      <c r="F10" s="11">
        <f>'Mercado &amp; Alelo'!I8</f>
        <v>0</v>
      </c>
      <c r="G10" s="11">
        <f>Provisões!G24</f>
        <v>0</v>
      </c>
      <c r="H10" s="14">
        <f t="shared" si="0"/>
        <v>3075.68</v>
      </c>
      <c r="I10" s="14">
        <f t="shared" si="1"/>
        <v>2624.32</v>
      </c>
      <c r="J10" s="12">
        <f t="shared" si="2"/>
        <v>0.53959298245614029</v>
      </c>
      <c r="K10" s="11">
        <f t="shared" si="3"/>
        <v>0</v>
      </c>
      <c r="L10" s="11">
        <f>MAX(0,I10-K10)*Config!$B$5</f>
        <v>787.29600000000005</v>
      </c>
      <c r="M10" s="11">
        <f>MAX(0,I10-K10)*Config!$B$6</f>
        <v>524.86400000000003</v>
      </c>
      <c r="N10" s="14">
        <f>MAX(0,I10-K10)*Config!$B$7</f>
        <v>1312.1599999999999</v>
      </c>
      <c r="O10" s="11">
        <f t="shared" si="4"/>
        <v>5617.77</v>
      </c>
      <c r="P10" s="11">
        <f>Metas!G20</f>
        <v>0</v>
      </c>
      <c r="Q10" s="11">
        <f>'Mercado &amp; Alelo'!I6</f>
        <v>0</v>
      </c>
      <c r="R10" s="11">
        <f>Receitas!I10</f>
        <v>0</v>
      </c>
      <c r="S10" s="15" t="str">
        <f>IF(I10&lt;0,"NO VERMELHO",IF(K10&gt;0,"PAGANDO BURACO",IF(J10&gt;Config!$B$8,"ALERTA","OK")))</f>
        <v>OK</v>
      </c>
    </row>
    <row r="11" spans="1:19" x14ac:dyDescent="0.25">
      <c r="A11" s="13">
        <v>46478</v>
      </c>
      <c r="B11" s="11">
        <f>Receitas!J11</f>
        <v>5700</v>
      </c>
      <c r="C11" s="11">
        <f>'Contas Fixas'!J25</f>
        <v>2409.23</v>
      </c>
      <c r="D11" s="11">
        <f>Cartão!J5+Cartão!J6</f>
        <v>540.62</v>
      </c>
      <c r="E11" s="11">
        <f>Cartão!J7+Cartão!J8</f>
        <v>0</v>
      </c>
      <c r="F11" s="11">
        <f>'Mercado &amp; Alelo'!J8</f>
        <v>0</v>
      </c>
      <c r="G11" s="11">
        <f>Provisões!H24</f>
        <v>0</v>
      </c>
      <c r="H11" s="14">
        <f t="shared" si="0"/>
        <v>2949.85</v>
      </c>
      <c r="I11" s="14">
        <f t="shared" si="1"/>
        <v>2750.15</v>
      </c>
      <c r="J11" s="12">
        <f t="shared" si="2"/>
        <v>0.5175175438596491</v>
      </c>
      <c r="K11" s="11">
        <f t="shared" si="3"/>
        <v>0</v>
      </c>
      <c r="L11" s="11">
        <f>MAX(0,I11-K11)*Config!$B$5</f>
        <v>825.04499999999996</v>
      </c>
      <c r="M11" s="11">
        <f>MAX(0,I11-K11)*Config!$B$6</f>
        <v>550.03000000000009</v>
      </c>
      <c r="N11" s="14">
        <f>MAX(0,I11-K11)*Config!$B$7</f>
        <v>1375.0749999999998</v>
      </c>
      <c r="O11" s="11">
        <f t="shared" si="4"/>
        <v>8367.92</v>
      </c>
      <c r="P11" s="11">
        <f>Metas!H20</f>
        <v>0</v>
      </c>
      <c r="Q11" s="11">
        <f>'Mercado &amp; Alelo'!J6</f>
        <v>0</v>
      </c>
      <c r="R11" s="11">
        <f>Receitas!J10</f>
        <v>0</v>
      </c>
      <c r="S11" s="15" t="str">
        <f>IF(I11&lt;0,"NO VERMELHO",IF(K11&gt;0,"PAGANDO BURACO",IF(J11&gt;Config!$B$8,"ALERTA","OK")))</f>
        <v>OK</v>
      </c>
    </row>
    <row r="12" spans="1:19" x14ac:dyDescent="0.25">
      <c r="A12" s="13">
        <v>46508</v>
      </c>
      <c r="B12" s="11">
        <f>Receitas!K11</f>
        <v>5700</v>
      </c>
      <c r="C12" s="11">
        <f>'Contas Fixas'!K25</f>
        <v>2409.23</v>
      </c>
      <c r="D12" s="11">
        <f>Cartão!K5+Cartão!K6</f>
        <v>540.62</v>
      </c>
      <c r="E12" s="11">
        <f>Cartão!K7+Cartão!K8</f>
        <v>0</v>
      </c>
      <c r="F12" s="11">
        <f>'Mercado &amp; Alelo'!K8</f>
        <v>0</v>
      </c>
      <c r="G12" s="11">
        <f>Provisões!I24</f>
        <v>0</v>
      </c>
      <c r="H12" s="14">
        <f t="shared" si="0"/>
        <v>2949.85</v>
      </c>
      <c r="I12" s="14">
        <f t="shared" si="1"/>
        <v>2750.15</v>
      </c>
      <c r="J12" s="12">
        <f t="shared" si="2"/>
        <v>0.5175175438596491</v>
      </c>
      <c r="K12" s="11">
        <f t="shared" si="3"/>
        <v>0</v>
      </c>
      <c r="L12" s="11">
        <f>MAX(0,I12-K12)*Config!$B$5</f>
        <v>825.04499999999996</v>
      </c>
      <c r="M12" s="11">
        <f>MAX(0,I12-K12)*Config!$B$6</f>
        <v>550.03000000000009</v>
      </c>
      <c r="N12" s="14">
        <f>MAX(0,I12-K12)*Config!$B$7</f>
        <v>1375.0749999999998</v>
      </c>
      <c r="O12" s="11">
        <f t="shared" si="4"/>
        <v>11118.07</v>
      </c>
      <c r="P12" s="11">
        <f>Metas!I20</f>
        <v>0</v>
      </c>
      <c r="Q12" s="11">
        <f>'Mercado &amp; Alelo'!K6</f>
        <v>0</v>
      </c>
      <c r="R12" s="11">
        <f>Receitas!K10</f>
        <v>0</v>
      </c>
      <c r="S12" s="15" t="str">
        <f>IF(I12&lt;0,"NO VERMELHO",IF(K12&gt;0,"PAGANDO BURACO",IF(J12&gt;Config!$B$8,"ALERTA","OK")))</f>
        <v>OK</v>
      </c>
    </row>
    <row r="13" spans="1:19" x14ac:dyDescent="0.25">
      <c r="A13" s="13">
        <v>46539</v>
      </c>
      <c r="B13" s="11">
        <f>Receitas!L11</f>
        <v>5700</v>
      </c>
      <c r="C13" s="11">
        <f>'Contas Fixas'!L25</f>
        <v>2409.23</v>
      </c>
      <c r="D13" s="11">
        <f>Cartão!L5+Cartão!L6</f>
        <v>75.47999999999999</v>
      </c>
      <c r="E13" s="11">
        <f>Cartão!L7+Cartão!L8</f>
        <v>0</v>
      </c>
      <c r="F13" s="11">
        <f>'Mercado &amp; Alelo'!L8</f>
        <v>0</v>
      </c>
      <c r="G13" s="11">
        <f>Provisões!J24</f>
        <v>0</v>
      </c>
      <c r="H13" s="14">
        <f t="shared" si="0"/>
        <v>2484.71</v>
      </c>
      <c r="I13" s="14">
        <f t="shared" si="1"/>
        <v>3215.29</v>
      </c>
      <c r="J13" s="12">
        <f t="shared" si="2"/>
        <v>0.43591403508771931</v>
      </c>
      <c r="K13" s="11">
        <f t="shared" si="3"/>
        <v>0</v>
      </c>
      <c r="L13" s="11">
        <f>MAX(0,I13-K13)*Config!$B$5</f>
        <v>964.58699999999999</v>
      </c>
      <c r="M13" s="11">
        <f>MAX(0,I13-K13)*Config!$B$6</f>
        <v>643.05799999999999</v>
      </c>
      <c r="N13" s="14">
        <f>MAX(0,I13-K13)*Config!$B$7</f>
        <v>1607.6449999999998</v>
      </c>
      <c r="O13" s="11">
        <f t="shared" si="4"/>
        <v>14333.36</v>
      </c>
      <c r="P13" s="11">
        <f>Metas!J20</f>
        <v>0</v>
      </c>
      <c r="Q13" s="11">
        <f>'Mercado &amp; Alelo'!L6</f>
        <v>0</v>
      </c>
      <c r="R13" s="11">
        <f>Receitas!L10</f>
        <v>0</v>
      </c>
      <c r="S13" s="15" t="str">
        <f>IF(I13&lt;0,"NO VERMELHO",IF(K13&gt;0,"PAGANDO BURACO",IF(J13&gt;Config!$B$8,"ALERTA","OK")))</f>
        <v>OK</v>
      </c>
    </row>
    <row r="14" spans="1:19" x14ac:dyDescent="0.25">
      <c r="A14" s="13">
        <v>46569</v>
      </c>
      <c r="B14" s="11">
        <f>Receitas!M11</f>
        <v>5700</v>
      </c>
      <c r="C14" s="11">
        <f>'Contas Fixas'!M25</f>
        <v>2409.23</v>
      </c>
      <c r="D14" s="11">
        <f>Cartão!M5+Cartão!M6</f>
        <v>23.07</v>
      </c>
      <c r="E14" s="11">
        <f>Cartão!M7+Cartão!M8</f>
        <v>0</v>
      </c>
      <c r="F14" s="11">
        <f>'Mercado &amp; Alelo'!M8</f>
        <v>0</v>
      </c>
      <c r="G14" s="11">
        <f>Provisões!K24</f>
        <v>0</v>
      </c>
      <c r="H14" s="14">
        <f t="shared" si="0"/>
        <v>2432.3000000000002</v>
      </c>
      <c r="I14" s="14">
        <f t="shared" si="1"/>
        <v>3267.7</v>
      </c>
      <c r="J14" s="12">
        <f t="shared" si="2"/>
        <v>0.42671929824561405</v>
      </c>
      <c r="K14" s="11">
        <f t="shared" si="3"/>
        <v>0</v>
      </c>
      <c r="L14" s="11">
        <f>MAX(0,I14-K14)*Config!$B$5</f>
        <v>980.31</v>
      </c>
      <c r="M14" s="11">
        <f>MAX(0,I14-K14)*Config!$B$6</f>
        <v>653.54</v>
      </c>
      <c r="N14" s="14">
        <f>MAX(0,I14-K14)*Config!$B$7</f>
        <v>1633.8499999999997</v>
      </c>
      <c r="O14" s="11">
        <f t="shared" si="4"/>
        <v>17601.060000000001</v>
      </c>
      <c r="P14" s="11">
        <f>Metas!K20</f>
        <v>0</v>
      </c>
      <c r="Q14" s="11">
        <f>'Mercado &amp; Alelo'!M6</f>
        <v>0</v>
      </c>
      <c r="R14" s="11">
        <f>Receitas!M10</f>
        <v>0</v>
      </c>
      <c r="S14" s="15" t="str">
        <f>IF(I14&lt;0,"NO VERMELHO",IF(K14&gt;0,"PAGANDO BURACO",IF(J14&gt;Config!$B$8,"ALERTA","OK")))</f>
        <v>OK</v>
      </c>
    </row>
    <row r="15" spans="1:19" x14ac:dyDescent="0.25">
      <c r="A15" s="13">
        <v>46600</v>
      </c>
      <c r="B15" s="11">
        <f>Receitas!N11</f>
        <v>5700</v>
      </c>
      <c r="C15" s="11">
        <f>'Contas Fixas'!N25</f>
        <v>2409.23</v>
      </c>
      <c r="D15" s="11">
        <f>Cartão!N5+Cartão!N6</f>
        <v>0</v>
      </c>
      <c r="E15" s="11">
        <f>Cartão!N7+Cartão!N8</f>
        <v>0</v>
      </c>
      <c r="F15" s="11">
        <f>'Mercado &amp; Alelo'!N8</f>
        <v>0</v>
      </c>
      <c r="G15" s="11">
        <f>Provisões!L24</f>
        <v>0</v>
      </c>
      <c r="H15" s="14">
        <f t="shared" si="0"/>
        <v>2409.23</v>
      </c>
      <c r="I15" s="14">
        <f t="shared" si="1"/>
        <v>3290.77</v>
      </c>
      <c r="J15" s="12">
        <f t="shared" si="2"/>
        <v>0.42267192982456142</v>
      </c>
      <c r="K15" s="11">
        <f t="shared" si="3"/>
        <v>0</v>
      </c>
      <c r="L15" s="11">
        <f>MAX(0,I15-K15)*Config!$B$5</f>
        <v>987.23099999999999</v>
      </c>
      <c r="M15" s="11">
        <f>MAX(0,I15-K15)*Config!$B$6</f>
        <v>658.154</v>
      </c>
      <c r="N15" s="14">
        <f>MAX(0,I15-K15)*Config!$B$7</f>
        <v>1645.3849999999998</v>
      </c>
      <c r="O15" s="11">
        <f t="shared" si="4"/>
        <v>20891.830000000002</v>
      </c>
      <c r="P15" s="11">
        <f>Metas!L20</f>
        <v>0</v>
      </c>
      <c r="Q15" s="11">
        <f>'Mercado &amp; Alelo'!N6</f>
        <v>0</v>
      </c>
      <c r="R15" s="11">
        <f>Receitas!N10</f>
        <v>0</v>
      </c>
      <c r="S15" s="15" t="str">
        <f>IF(I15&lt;0,"NO VERMELHO",IF(K15&gt;0,"PAGANDO BURACO",IF(J15&gt;Config!$B$8,"ALERTA","OK")))</f>
        <v>OK</v>
      </c>
    </row>
    <row r="16" spans="1:19" x14ac:dyDescent="0.25">
      <c r="A16" s="13">
        <v>46631</v>
      </c>
      <c r="B16" s="11">
        <f>Receitas!O11</f>
        <v>5700</v>
      </c>
      <c r="C16" s="11">
        <f>'Contas Fixas'!O25</f>
        <v>2409.23</v>
      </c>
      <c r="D16" s="11">
        <f>Cartão!O5+Cartão!O6</f>
        <v>0</v>
      </c>
      <c r="E16" s="11">
        <f>Cartão!O7+Cartão!O8</f>
        <v>0</v>
      </c>
      <c r="F16" s="11">
        <f>'Mercado &amp; Alelo'!O8</f>
        <v>0</v>
      </c>
      <c r="G16" s="11">
        <f>Provisões!M24</f>
        <v>0</v>
      </c>
      <c r="H16" s="14">
        <f t="shared" si="0"/>
        <v>2409.23</v>
      </c>
      <c r="I16" s="14">
        <f t="shared" si="1"/>
        <v>3290.77</v>
      </c>
      <c r="J16" s="12">
        <f t="shared" si="2"/>
        <v>0.42267192982456142</v>
      </c>
      <c r="K16" s="11">
        <f t="shared" si="3"/>
        <v>0</v>
      </c>
      <c r="L16" s="11">
        <f>MAX(0,I16-K16)*Config!$B$5</f>
        <v>987.23099999999999</v>
      </c>
      <c r="M16" s="11">
        <f>MAX(0,I16-K16)*Config!$B$6</f>
        <v>658.154</v>
      </c>
      <c r="N16" s="14">
        <f>MAX(0,I16-K16)*Config!$B$7</f>
        <v>1645.3849999999998</v>
      </c>
      <c r="O16" s="11">
        <f t="shared" si="4"/>
        <v>24182.600000000002</v>
      </c>
      <c r="P16" s="11">
        <f>Metas!M20</f>
        <v>0</v>
      </c>
      <c r="Q16" s="11">
        <f>'Mercado &amp; Alelo'!O6</f>
        <v>0</v>
      </c>
      <c r="R16" s="11">
        <f>Receitas!O10</f>
        <v>0</v>
      </c>
      <c r="S16" s="15" t="str">
        <f>IF(I16&lt;0,"NO VERMELHO",IF(K16&gt;0,"PAGANDO BURACO",IF(J16&gt;Config!$B$8,"ALERTA","OK")))</f>
        <v>OK</v>
      </c>
    </row>
    <row r="17" spans="1:19" x14ac:dyDescent="0.25">
      <c r="A17" s="13">
        <v>46661</v>
      </c>
      <c r="B17" s="11">
        <f>Receitas!P11</f>
        <v>5700</v>
      </c>
      <c r="C17" s="11">
        <f>'Contas Fixas'!P25</f>
        <v>2409.23</v>
      </c>
      <c r="D17" s="11">
        <f>Cartão!P5+Cartão!P6</f>
        <v>0</v>
      </c>
      <c r="E17" s="11">
        <f>Cartão!P7+Cartão!P8</f>
        <v>0</v>
      </c>
      <c r="F17" s="11">
        <f>'Mercado &amp; Alelo'!P8</f>
        <v>0</v>
      </c>
      <c r="G17" s="11">
        <f>Provisões!N24</f>
        <v>0</v>
      </c>
      <c r="H17" s="14">
        <f t="shared" si="0"/>
        <v>2409.23</v>
      </c>
      <c r="I17" s="14">
        <f t="shared" si="1"/>
        <v>3290.77</v>
      </c>
      <c r="J17" s="12">
        <f t="shared" si="2"/>
        <v>0.42267192982456142</v>
      </c>
      <c r="K17" s="11">
        <f t="shared" si="3"/>
        <v>0</v>
      </c>
      <c r="L17" s="11">
        <f>MAX(0,I17-K17)*Config!$B$5</f>
        <v>987.23099999999999</v>
      </c>
      <c r="M17" s="11">
        <f>MAX(0,I17-K17)*Config!$B$6</f>
        <v>658.154</v>
      </c>
      <c r="N17" s="14">
        <f>MAX(0,I17-K17)*Config!$B$7</f>
        <v>1645.3849999999998</v>
      </c>
      <c r="O17" s="11">
        <f t="shared" si="4"/>
        <v>27473.370000000003</v>
      </c>
      <c r="P17" s="11">
        <f>Metas!N20</f>
        <v>0</v>
      </c>
      <c r="Q17" s="11">
        <f>'Mercado &amp; Alelo'!P6</f>
        <v>0</v>
      </c>
      <c r="R17" s="11">
        <f>Receitas!P10</f>
        <v>0</v>
      </c>
      <c r="S17" s="15" t="str">
        <f>IF(I17&lt;0,"NO VERMELHO",IF(K17&gt;0,"PAGANDO BURACO",IF(J17&gt;Config!$B$8,"ALERTA","OK")))</f>
        <v>OK</v>
      </c>
    </row>
    <row r="18" spans="1:19" x14ac:dyDescent="0.25">
      <c r="A18" s="13">
        <v>46692</v>
      </c>
      <c r="B18" s="11">
        <f>Receitas!Q11</f>
        <v>5700</v>
      </c>
      <c r="C18" s="11">
        <f>'Contas Fixas'!Q25</f>
        <v>2409.23</v>
      </c>
      <c r="D18" s="11">
        <f>Cartão!Q5+Cartão!Q6</f>
        <v>0</v>
      </c>
      <c r="E18" s="11">
        <f>Cartão!Q7+Cartão!Q8</f>
        <v>0</v>
      </c>
      <c r="F18" s="11">
        <f>'Mercado &amp; Alelo'!Q8</f>
        <v>0</v>
      </c>
      <c r="G18" s="11">
        <f>Provisões!O24</f>
        <v>0</v>
      </c>
      <c r="H18" s="14">
        <f t="shared" si="0"/>
        <v>2409.23</v>
      </c>
      <c r="I18" s="14">
        <f t="shared" si="1"/>
        <v>3290.77</v>
      </c>
      <c r="J18" s="12">
        <f t="shared" si="2"/>
        <v>0.42267192982456142</v>
      </c>
      <c r="K18" s="11">
        <f t="shared" si="3"/>
        <v>0</v>
      </c>
      <c r="L18" s="11">
        <f>MAX(0,I18-K18)*Config!$B$5</f>
        <v>987.23099999999999</v>
      </c>
      <c r="M18" s="11">
        <f>MAX(0,I18-K18)*Config!$B$6</f>
        <v>658.154</v>
      </c>
      <c r="N18" s="14">
        <f>MAX(0,I18-K18)*Config!$B$7</f>
        <v>1645.3849999999998</v>
      </c>
      <c r="O18" s="11">
        <f t="shared" si="4"/>
        <v>30764.140000000003</v>
      </c>
      <c r="P18" s="11">
        <f>Metas!O20</f>
        <v>0</v>
      </c>
      <c r="Q18" s="11">
        <f>'Mercado &amp; Alelo'!Q6</f>
        <v>0</v>
      </c>
      <c r="R18" s="11">
        <f>Receitas!Q10</f>
        <v>0</v>
      </c>
      <c r="S18" s="15" t="str">
        <f>IF(I18&lt;0,"NO VERMELHO",IF(K18&gt;0,"PAGANDO BURACO",IF(J18&gt;Config!$B$8,"ALERTA","OK")))</f>
        <v>OK</v>
      </c>
    </row>
    <row r="19" spans="1:19" x14ac:dyDescent="0.25">
      <c r="A19" s="13">
        <v>46722</v>
      </c>
      <c r="B19" s="11">
        <f>Receitas!R11</f>
        <v>5700</v>
      </c>
      <c r="C19" s="11">
        <f>'Contas Fixas'!R25</f>
        <v>2409.23</v>
      </c>
      <c r="D19" s="11">
        <f>Cartão!R5+Cartão!R6</f>
        <v>0</v>
      </c>
      <c r="E19" s="11">
        <f>Cartão!R7+Cartão!R8</f>
        <v>0</v>
      </c>
      <c r="F19" s="11">
        <f>'Mercado &amp; Alelo'!R8</f>
        <v>0</v>
      </c>
      <c r="G19" s="11">
        <f>Provisões!P24</f>
        <v>0</v>
      </c>
      <c r="H19" s="14">
        <f t="shared" si="0"/>
        <v>2409.23</v>
      </c>
      <c r="I19" s="14">
        <f t="shared" si="1"/>
        <v>3290.77</v>
      </c>
      <c r="J19" s="12">
        <f t="shared" si="2"/>
        <v>0.42267192982456142</v>
      </c>
      <c r="K19" s="11">
        <f t="shared" si="3"/>
        <v>0</v>
      </c>
      <c r="L19" s="11">
        <f>MAX(0,I19-K19)*Config!$B$5</f>
        <v>987.23099999999999</v>
      </c>
      <c r="M19" s="11">
        <f>MAX(0,I19-K19)*Config!$B$6</f>
        <v>658.154</v>
      </c>
      <c r="N19" s="14">
        <f>MAX(0,I19-K19)*Config!$B$7</f>
        <v>1645.3849999999998</v>
      </c>
      <c r="O19" s="11">
        <f t="shared" si="4"/>
        <v>34054.910000000003</v>
      </c>
      <c r="P19" s="11">
        <f>Metas!P20</f>
        <v>0</v>
      </c>
      <c r="Q19" s="11">
        <f>'Mercado &amp; Alelo'!R6</f>
        <v>0</v>
      </c>
      <c r="R19" s="11">
        <f>Receitas!R10</f>
        <v>0</v>
      </c>
      <c r="S19" s="15" t="str">
        <f>IF(I19&lt;0,"NO VERMELHO",IF(K19&gt;0,"PAGANDO BURACO",IF(J19&gt;Config!$B$8,"ALERTA","OK")))</f>
        <v>OK</v>
      </c>
    </row>
    <row r="20" spans="1:19" x14ac:dyDescent="0.25">
      <c r="A20" s="3" t="s">
        <v>31</v>
      </c>
      <c r="B20" s="16">
        <f t="shared" ref="B20:I20" si="5">SUM(B5:B19)</f>
        <v>85500</v>
      </c>
      <c r="C20" s="16">
        <f t="shared" si="5"/>
        <v>36258.450000000004</v>
      </c>
      <c r="D20" s="16">
        <f t="shared" si="5"/>
        <v>14036.640000000001</v>
      </c>
      <c r="E20" s="16">
        <f t="shared" si="5"/>
        <v>0</v>
      </c>
      <c r="F20" s="16">
        <f t="shared" si="5"/>
        <v>0</v>
      </c>
      <c r="G20" s="16">
        <f t="shared" si="5"/>
        <v>1150</v>
      </c>
      <c r="H20" s="16">
        <f t="shared" si="5"/>
        <v>51445.090000000018</v>
      </c>
      <c r="I20" s="16">
        <f t="shared" si="5"/>
        <v>34054.910000000003</v>
      </c>
      <c r="J20" s="17">
        <f t="shared" si="2"/>
        <v>0.60169695906432774</v>
      </c>
      <c r="K20" s="16">
        <f>SUM(K5:K19)</f>
        <v>3353.2199999999993</v>
      </c>
      <c r="L20" s="16">
        <f>SUM(L5:L19)</f>
        <v>10216.472999999998</v>
      </c>
      <c r="M20" s="16">
        <f>SUM(M5:M19)</f>
        <v>6810.9820000000018</v>
      </c>
      <c r="N20" s="16">
        <f>SUM(N5:N19)</f>
        <v>17027.454999999998</v>
      </c>
      <c r="O20" s="16">
        <f>O19</f>
        <v>34054.910000000003</v>
      </c>
      <c r="P20" s="16">
        <f>SUM(P5:P19)</f>
        <v>0</v>
      </c>
      <c r="Q20" s="16">
        <f>SUM(Q5:Q19)</f>
        <v>0</v>
      </c>
      <c r="R20" s="16">
        <f>SUM(R5:R19)</f>
        <v>0</v>
      </c>
    </row>
  </sheetData>
  <conditionalFormatting sqref="J5:J19">
    <cfRule type="dataBar" priority="5">
      <dataBar>
        <cfvo type="num" val="0"/>
        <cfvo type="num" val="1.5"/>
        <color rgb="FFB39DDB"/>
      </dataBar>
    </cfRule>
  </conditionalFormatting>
  <conditionalFormatting sqref="S5:S19">
    <cfRule type="cellIs" dxfId="3" priority="1" operator="equal">
      <formula>"NO VERMELHO"</formula>
    </cfRule>
    <cfRule type="cellIs" dxfId="2" priority="2" operator="equal">
      <formula>"PAGANDO BURACO"</formula>
    </cfRule>
    <cfRule type="cellIs" dxfId="1" priority="3" operator="equal">
      <formula>"ALERTA"</formula>
    </cfRule>
    <cfRule type="cellIs" dxfId="0" priority="4" operator="equal">
      <formula>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39DDB"/>
  </sheetPr>
  <dimension ref="A1:S13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6" customWidth="1"/>
    <col min="3" max="3" width="26" customWidth="1"/>
    <col min="4" max="19" width="12.42578125" customWidth="1"/>
  </cols>
  <sheetData>
    <row r="1" spans="1:19" ht="20.25" x14ac:dyDescent="0.3">
      <c r="A1" s="1" t="s">
        <v>32</v>
      </c>
    </row>
    <row r="2" spans="1:19" x14ac:dyDescent="0.25">
      <c r="A2" s="2" t="s">
        <v>33</v>
      </c>
    </row>
    <row r="4" spans="1:19" x14ac:dyDescent="0.25">
      <c r="A4" s="9" t="s">
        <v>34</v>
      </c>
      <c r="B4" s="9" t="s">
        <v>12</v>
      </c>
      <c r="C4" s="9" t="s">
        <v>35</v>
      </c>
      <c r="D4" s="18">
        <v>46296</v>
      </c>
      <c r="E4" s="18">
        <v>46327</v>
      </c>
      <c r="F4" s="18">
        <v>46357</v>
      </c>
      <c r="G4" s="18">
        <v>46388</v>
      </c>
      <c r="H4" s="18">
        <v>46419</v>
      </c>
      <c r="I4" s="18">
        <v>46447</v>
      </c>
      <c r="J4" s="18">
        <v>46478</v>
      </c>
      <c r="K4" s="18">
        <v>46508</v>
      </c>
      <c r="L4" s="18">
        <v>46539</v>
      </c>
      <c r="M4" s="18">
        <v>46569</v>
      </c>
      <c r="N4" s="18">
        <v>46600</v>
      </c>
      <c r="O4" s="18">
        <v>46631</v>
      </c>
      <c r="P4" s="18">
        <v>46661</v>
      </c>
      <c r="Q4" s="18">
        <v>46692</v>
      </c>
      <c r="R4" s="18">
        <v>46722</v>
      </c>
      <c r="S4" s="9" t="s">
        <v>36</v>
      </c>
    </row>
    <row r="5" spans="1:19" x14ac:dyDescent="0.25">
      <c r="A5" s="3" t="s">
        <v>37</v>
      </c>
      <c r="B5" s="10" t="s">
        <v>38</v>
      </c>
      <c r="C5" s="2" t="s">
        <v>39</v>
      </c>
      <c r="D5" s="19">
        <v>3000</v>
      </c>
      <c r="E5" s="19">
        <v>3000</v>
      </c>
      <c r="F5" s="19">
        <v>3000</v>
      </c>
      <c r="G5" s="19">
        <v>3000</v>
      </c>
      <c r="H5" s="19">
        <v>3000</v>
      </c>
      <c r="I5" s="19">
        <v>3000</v>
      </c>
      <c r="J5" s="19">
        <v>3000</v>
      </c>
      <c r="K5" s="19">
        <v>3000</v>
      </c>
      <c r="L5" s="19">
        <v>3000</v>
      </c>
      <c r="M5" s="19">
        <v>3000</v>
      </c>
      <c r="N5" s="19">
        <v>3000</v>
      </c>
      <c r="O5" s="19">
        <v>3000</v>
      </c>
      <c r="P5" s="19">
        <v>3000</v>
      </c>
      <c r="Q5" s="19">
        <v>3000</v>
      </c>
      <c r="R5" s="19">
        <v>3000</v>
      </c>
      <c r="S5" s="14">
        <f t="shared" ref="S5:S10" si="0">SUM(D5:R5)</f>
        <v>45000</v>
      </c>
    </row>
    <row r="6" spans="1:19" x14ac:dyDescent="0.25">
      <c r="A6" s="3" t="s">
        <v>40</v>
      </c>
      <c r="B6" s="10" t="s">
        <v>38</v>
      </c>
      <c r="C6" s="2" t="s">
        <v>41</v>
      </c>
      <c r="D6" s="19">
        <v>2700</v>
      </c>
      <c r="E6" s="19">
        <v>2700</v>
      </c>
      <c r="F6" s="19">
        <v>2700</v>
      </c>
      <c r="G6" s="19">
        <v>2700</v>
      </c>
      <c r="H6" s="19">
        <v>2700</v>
      </c>
      <c r="I6" s="19">
        <v>2700</v>
      </c>
      <c r="J6" s="19">
        <v>2700</v>
      </c>
      <c r="K6" s="19">
        <v>2700</v>
      </c>
      <c r="L6" s="19">
        <v>2700</v>
      </c>
      <c r="M6" s="19">
        <v>2700</v>
      </c>
      <c r="N6" s="19">
        <v>2700</v>
      </c>
      <c r="O6" s="19">
        <v>2700</v>
      </c>
      <c r="P6" s="19">
        <v>2700</v>
      </c>
      <c r="Q6" s="19">
        <v>2700</v>
      </c>
      <c r="R6" s="19">
        <v>2700</v>
      </c>
      <c r="S6" s="14">
        <f t="shared" si="0"/>
        <v>40500</v>
      </c>
    </row>
    <row r="7" spans="1:19" x14ac:dyDescent="0.25">
      <c r="A7" s="10" t="s">
        <v>42</v>
      </c>
      <c r="B7" s="10" t="s">
        <v>43</v>
      </c>
      <c r="C7" s="2" t="s">
        <v>44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4">
        <f t="shared" si="0"/>
        <v>0</v>
      </c>
    </row>
    <row r="8" spans="1:19" x14ac:dyDescent="0.25">
      <c r="A8" s="10" t="s">
        <v>45</v>
      </c>
      <c r="B8" s="10" t="s">
        <v>43</v>
      </c>
      <c r="C8" s="2" t="s">
        <v>46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4">
        <f t="shared" si="0"/>
        <v>0</v>
      </c>
    </row>
    <row r="9" spans="1:19" x14ac:dyDescent="0.25">
      <c r="A9" s="10" t="s">
        <v>47</v>
      </c>
      <c r="B9" s="10" t="s">
        <v>48</v>
      </c>
      <c r="C9" s="2" t="s">
        <v>49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4">
        <f t="shared" si="0"/>
        <v>0</v>
      </c>
    </row>
    <row r="10" spans="1:19" x14ac:dyDescent="0.25">
      <c r="A10" s="3" t="s">
        <v>50</v>
      </c>
      <c r="D10" s="11">
        <f t="shared" ref="D10:R10" si="1">MAX(0,D7-D8)</f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 t="shared" si="1"/>
        <v>0</v>
      </c>
      <c r="I10" s="11">
        <f t="shared" si="1"/>
        <v>0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4">
        <f t="shared" si="0"/>
        <v>0</v>
      </c>
    </row>
    <row r="11" spans="1:19" x14ac:dyDescent="0.25">
      <c r="A11" s="3" t="s">
        <v>51</v>
      </c>
      <c r="D11" s="16">
        <f t="shared" ref="D11:S11" si="2">D5+D6+MIN(D7,D8)+D9</f>
        <v>5700</v>
      </c>
      <c r="E11" s="16">
        <f t="shared" si="2"/>
        <v>5700</v>
      </c>
      <c r="F11" s="16">
        <f t="shared" si="2"/>
        <v>5700</v>
      </c>
      <c r="G11" s="16">
        <f t="shared" si="2"/>
        <v>5700</v>
      </c>
      <c r="H11" s="16">
        <f t="shared" si="2"/>
        <v>5700</v>
      </c>
      <c r="I11" s="16">
        <f t="shared" si="2"/>
        <v>5700</v>
      </c>
      <c r="J11" s="16">
        <f t="shared" si="2"/>
        <v>5700</v>
      </c>
      <c r="K11" s="16">
        <f t="shared" si="2"/>
        <v>5700</v>
      </c>
      <c r="L11" s="16">
        <f t="shared" si="2"/>
        <v>5700</v>
      </c>
      <c r="M11" s="16">
        <f t="shared" si="2"/>
        <v>5700</v>
      </c>
      <c r="N11" s="16">
        <f t="shared" si="2"/>
        <v>5700</v>
      </c>
      <c r="O11" s="16">
        <f t="shared" si="2"/>
        <v>5700</v>
      </c>
      <c r="P11" s="16">
        <f t="shared" si="2"/>
        <v>5700</v>
      </c>
      <c r="Q11" s="16">
        <f t="shared" si="2"/>
        <v>5700</v>
      </c>
      <c r="R11" s="16">
        <f t="shared" si="2"/>
        <v>5700</v>
      </c>
      <c r="S11" s="16">
        <f t="shared" si="2"/>
        <v>85500</v>
      </c>
    </row>
    <row r="13" spans="1:19" x14ac:dyDescent="0.25">
      <c r="A13" s="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9DDB"/>
  </sheetPr>
  <dimension ref="A1:S2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6" customWidth="1"/>
    <col min="3" max="3" width="26" customWidth="1"/>
    <col min="4" max="19" width="12.42578125" customWidth="1"/>
  </cols>
  <sheetData>
    <row r="1" spans="1:19" ht="20.25" x14ac:dyDescent="0.3">
      <c r="A1" s="1" t="s">
        <v>15</v>
      </c>
    </row>
    <row r="2" spans="1:19" x14ac:dyDescent="0.25">
      <c r="A2" s="2" t="s">
        <v>53</v>
      </c>
    </row>
    <row r="4" spans="1:19" x14ac:dyDescent="0.25">
      <c r="A4" s="9" t="s">
        <v>34</v>
      </c>
      <c r="B4" s="9" t="s">
        <v>12</v>
      </c>
      <c r="C4" s="9" t="s">
        <v>35</v>
      </c>
      <c r="D4" s="18">
        <v>46296</v>
      </c>
      <c r="E4" s="18">
        <v>46327</v>
      </c>
      <c r="F4" s="18">
        <v>46357</v>
      </c>
      <c r="G4" s="18">
        <v>46388</v>
      </c>
      <c r="H4" s="18">
        <v>46419</v>
      </c>
      <c r="I4" s="18">
        <v>46447</v>
      </c>
      <c r="J4" s="18">
        <v>46478</v>
      </c>
      <c r="K4" s="18">
        <v>46508</v>
      </c>
      <c r="L4" s="18">
        <v>46539</v>
      </c>
      <c r="M4" s="18">
        <v>46569</v>
      </c>
      <c r="N4" s="18">
        <v>46600</v>
      </c>
      <c r="O4" s="18">
        <v>46631</v>
      </c>
      <c r="P4" s="18">
        <v>46661</v>
      </c>
      <c r="Q4" s="18">
        <v>46692</v>
      </c>
      <c r="R4" s="18">
        <v>46722</v>
      </c>
      <c r="S4" s="9" t="s">
        <v>36</v>
      </c>
    </row>
    <row r="5" spans="1:19" x14ac:dyDescent="0.25">
      <c r="A5" s="20" t="s">
        <v>54</v>
      </c>
      <c r="B5" s="20" t="s">
        <v>55</v>
      </c>
      <c r="C5" s="2" t="s">
        <v>41</v>
      </c>
      <c r="D5" s="19">
        <v>1350</v>
      </c>
      <c r="E5" s="19">
        <v>1350</v>
      </c>
      <c r="F5" s="19">
        <v>1350</v>
      </c>
      <c r="G5" s="19">
        <v>1350</v>
      </c>
      <c r="H5" s="19">
        <v>1350</v>
      </c>
      <c r="I5" s="19">
        <v>1350</v>
      </c>
      <c r="J5" s="19">
        <v>1350</v>
      </c>
      <c r="K5" s="19">
        <v>1350</v>
      </c>
      <c r="L5" s="19">
        <v>1350</v>
      </c>
      <c r="M5" s="19">
        <v>1350</v>
      </c>
      <c r="N5" s="19">
        <v>1350</v>
      </c>
      <c r="O5" s="19">
        <v>1350</v>
      </c>
      <c r="P5" s="19">
        <v>1350</v>
      </c>
      <c r="Q5" s="19">
        <v>1350</v>
      </c>
      <c r="R5" s="19">
        <v>1350</v>
      </c>
      <c r="S5" s="11">
        <f t="shared" ref="S5:S24" si="0">SUM(D5:R5)</f>
        <v>20250</v>
      </c>
    </row>
    <row r="6" spans="1:19" x14ac:dyDescent="0.25">
      <c r="A6" s="20" t="s">
        <v>56</v>
      </c>
      <c r="B6" s="20" t="s">
        <v>57</v>
      </c>
      <c r="C6" s="2" t="s">
        <v>41</v>
      </c>
      <c r="D6" s="19">
        <v>54.7</v>
      </c>
      <c r="E6" s="19">
        <v>54.7</v>
      </c>
      <c r="F6" s="19">
        <v>54.7</v>
      </c>
      <c r="G6" s="19">
        <v>54.7</v>
      </c>
      <c r="H6" s="19">
        <v>54.7</v>
      </c>
      <c r="I6" s="19">
        <v>54.7</v>
      </c>
      <c r="J6" s="19">
        <v>54.7</v>
      </c>
      <c r="K6" s="19">
        <v>54.7</v>
      </c>
      <c r="L6" s="19">
        <v>54.7</v>
      </c>
      <c r="M6" s="19">
        <v>54.7</v>
      </c>
      <c r="N6" s="19">
        <v>54.7</v>
      </c>
      <c r="O6" s="19">
        <v>54.7</v>
      </c>
      <c r="P6" s="19">
        <v>54.7</v>
      </c>
      <c r="Q6" s="19">
        <v>54.7</v>
      </c>
      <c r="R6" s="19">
        <v>54.7</v>
      </c>
      <c r="S6" s="11">
        <f t="shared" si="0"/>
        <v>820.50000000000023</v>
      </c>
    </row>
    <row r="7" spans="1:19" x14ac:dyDescent="0.25">
      <c r="A7" s="20" t="s">
        <v>58</v>
      </c>
      <c r="B7" s="20" t="s">
        <v>59</v>
      </c>
      <c r="C7" s="2" t="s">
        <v>60</v>
      </c>
      <c r="D7" s="19">
        <v>86.5</v>
      </c>
      <c r="E7" s="19">
        <v>86.5</v>
      </c>
      <c r="F7" s="19">
        <v>86.5</v>
      </c>
      <c r="G7" s="19">
        <v>86.5</v>
      </c>
      <c r="H7" s="19">
        <v>86.5</v>
      </c>
      <c r="I7" s="19">
        <v>86.5</v>
      </c>
      <c r="J7" s="19">
        <v>86.5</v>
      </c>
      <c r="K7" s="19">
        <v>86.5</v>
      </c>
      <c r="L7" s="19">
        <v>86.5</v>
      </c>
      <c r="M7" s="19">
        <v>86.5</v>
      </c>
      <c r="N7" s="19">
        <v>86.5</v>
      </c>
      <c r="O7" s="19">
        <v>86.5</v>
      </c>
      <c r="P7" s="19">
        <v>86.5</v>
      </c>
      <c r="Q7" s="19">
        <v>86.5</v>
      </c>
      <c r="R7" s="19">
        <v>86.5</v>
      </c>
      <c r="S7" s="11">
        <f t="shared" si="0"/>
        <v>1297.5</v>
      </c>
    </row>
    <row r="8" spans="1:19" x14ac:dyDescent="0.25">
      <c r="A8" s="20" t="s">
        <v>61</v>
      </c>
      <c r="B8" s="20" t="s">
        <v>57</v>
      </c>
      <c r="C8" s="2" t="s">
        <v>62</v>
      </c>
      <c r="D8" s="19">
        <v>119.9</v>
      </c>
      <c r="E8" s="19">
        <v>119.9</v>
      </c>
      <c r="F8" s="19">
        <v>119.9</v>
      </c>
      <c r="G8" s="19">
        <v>119.9</v>
      </c>
      <c r="H8" s="19">
        <v>119.9</v>
      </c>
      <c r="I8" s="19">
        <v>119.9</v>
      </c>
      <c r="J8" s="19">
        <v>119.9</v>
      </c>
      <c r="K8" s="19">
        <v>119.9</v>
      </c>
      <c r="L8" s="19">
        <v>119.9</v>
      </c>
      <c r="M8" s="19">
        <v>119.9</v>
      </c>
      <c r="N8" s="19">
        <v>119.9</v>
      </c>
      <c r="O8" s="19">
        <v>119.9</v>
      </c>
      <c r="P8" s="19">
        <v>119.9</v>
      </c>
      <c r="Q8" s="19">
        <v>119.9</v>
      </c>
      <c r="R8" s="19">
        <v>119.9</v>
      </c>
      <c r="S8" s="11">
        <f t="shared" si="0"/>
        <v>1798.5000000000005</v>
      </c>
    </row>
    <row r="9" spans="1:19" x14ac:dyDescent="0.25">
      <c r="A9" s="20" t="s">
        <v>63</v>
      </c>
      <c r="B9" s="20" t="s">
        <v>55</v>
      </c>
      <c r="C9" s="2" t="s">
        <v>41</v>
      </c>
      <c r="D9" s="19">
        <v>110</v>
      </c>
      <c r="E9" s="19">
        <v>110</v>
      </c>
      <c r="F9" s="19">
        <v>110</v>
      </c>
      <c r="G9" s="19">
        <v>110</v>
      </c>
      <c r="H9" s="19">
        <v>110</v>
      </c>
      <c r="I9" s="19">
        <v>110</v>
      </c>
      <c r="J9" s="19">
        <v>110</v>
      </c>
      <c r="K9" s="19">
        <v>110</v>
      </c>
      <c r="L9" s="19">
        <v>110</v>
      </c>
      <c r="M9" s="19">
        <v>110</v>
      </c>
      <c r="N9" s="19">
        <v>110</v>
      </c>
      <c r="O9" s="19">
        <v>110</v>
      </c>
      <c r="P9" s="19">
        <v>110</v>
      </c>
      <c r="Q9" s="19">
        <v>110</v>
      </c>
      <c r="R9" s="19">
        <v>110</v>
      </c>
      <c r="S9" s="11">
        <f t="shared" si="0"/>
        <v>1650</v>
      </c>
    </row>
    <row r="10" spans="1:19" x14ac:dyDescent="0.25">
      <c r="A10" s="20" t="s">
        <v>64</v>
      </c>
      <c r="B10" s="20" t="s">
        <v>55</v>
      </c>
      <c r="C10" s="2" t="s">
        <v>65</v>
      </c>
      <c r="D10" s="19">
        <v>220</v>
      </c>
      <c r="E10" s="19">
        <v>220</v>
      </c>
      <c r="F10" s="19">
        <v>220</v>
      </c>
      <c r="G10" s="19">
        <v>220</v>
      </c>
      <c r="H10" s="19">
        <v>220</v>
      </c>
      <c r="I10" s="19">
        <v>220</v>
      </c>
      <c r="J10" s="19">
        <v>220</v>
      </c>
      <c r="K10" s="19">
        <v>220</v>
      </c>
      <c r="L10" s="19">
        <v>220</v>
      </c>
      <c r="M10" s="19">
        <v>220</v>
      </c>
      <c r="N10" s="19">
        <v>220</v>
      </c>
      <c r="O10" s="19">
        <v>220</v>
      </c>
      <c r="P10" s="19">
        <v>220</v>
      </c>
      <c r="Q10" s="19">
        <v>220</v>
      </c>
      <c r="R10" s="19">
        <v>220</v>
      </c>
      <c r="S10" s="11">
        <f t="shared" si="0"/>
        <v>3300</v>
      </c>
    </row>
    <row r="11" spans="1:19" x14ac:dyDescent="0.25">
      <c r="A11" s="20" t="s">
        <v>66</v>
      </c>
      <c r="B11" s="20" t="s">
        <v>67</v>
      </c>
      <c r="C11" s="2" t="s">
        <v>68</v>
      </c>
      <c r="D11" s="19">
        <v>433.13</v>
      </c>
      <c r="E11" s="19">
        <v>433.13</v>
      </c>
      <c r="F11" s="19">
        <v>433.13</v>
      </c>
      <c r="G11" s="19">
        <v>433.13</v>
      </c>
      <c r="H11" s="19">
        <v>433.13</v>
      </c>
      <c r="I11" s="19">
        <v>433.13</v>
      </c>
      <c r="J11" s="19">
        <v>433.13</v>
      </c>
      <c r="K11" s="19">
        <v>433.13</v>
      </c>
      <c r="L11" s="19">
        <v>433.13</v>
      </c>
      <c r="M11" s="19">
        <v>433.13</v>
      </c>
      <c r="N11" s="19">
        <v>433.13</v>
      </c>
      <c r="O11" s="19">
        <v>433.13</v>
      </c>
      <c r="P11" s="19">
        <v>433.13</v>
      </c>
      <c r="Q11" s="19">
        <v>433.13</v>
      </c>
      <c r="R11" s="19">
        <v>433.13</v>
      </c>
      <c r="S11" s="11">
        <f t="shared" si="0"/>
        <v>6496.9500000000007</v>
      </c>
    </row>
    <row r="12" spans="1:19" x14ac:dyDescent="0.25">
      <c r="A12" s="20" t="s">
        <v>69</v>
      </c>
      <c r="B12" s="20" t="s">
        <v>70</v>
      </c>
      <c r="C12" s="2" t="s">
        <v>71</v>
      </c>
      <c r="D12" s="19">
        <v>60</v>
      </c>
      <c r="E12" s="19">
        <v>60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1">
        <f t="shared" si="0"/>
        <v>120</v>
      </c>
    </row>
    <row r="13" spans="1:19" x14ac:dyDescent="0.25">
      <c r="A13" s="20" t="s">
        <v>72</v>
      </c>
      <c r="B13" s="20" t="s">
        <v>70</v>
      </c>
      <c r="C13" s="2" t="s">
        <v>73</v>
      </c>
      <c r="D13" s="19">
        <v>35</v>
      </c>
      <c r="E13" s="19">
        <v>35</v>
      </c>
      <c r="F13" s="19">
        <v>35</v>
      </c>
      <c r="G13" s="19">
        <v>35</v>
      </c>
      <c r="H13" s="19">
        <v>35</v>
      </c>
      <c r="I13" s="19">
        <v>35</v>
      </c>
      <c r="J13" s="19">
        <v>35</v>
      </c>
      <c r="K13" s="19">
        <v>35</v>
      </c>
      <c r="L13" s="19">
        <v>35</v>
      </c>
      <c r="M13" s="19">
        <v>35</v>
      </c>
      <c r="N13" s="19">
        <v>35</v>
      </c>
      <c r="O13" s="19">
        <v>35</v>
      </c>
      <c r="P13" s="19">
        <v>35</v>
      </c>
      <c r="Q13" s="19">
        <v>35</v>
      </c>
      <c r="R13" s="19">
        <v>35</v>
      </c>
      <c r="S13" s="11">
        <f t="shared" si="0"/>
        <v>525</v>
      </c>
    </row>
    <row r="14" spans="1:19" x14ac:dyDescent="0.25">
      <c r="A14" s="20"/>
      <c r="B14" s="2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1">
        <f t="shared" si="0"/>
        <v>0</v>
      </c>
    </row>
    <row r="15" spans="1:19" x14ac:dyDescent="0.25">
      <c r="A15" s="20"/>
      <c r="B15" s="20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1">
        <f t="shared" si="0"/>
        <v>0</v>
      </c>
    </row>
    <row r="16" spans="1:19" x14ac:dyDescent="0.25">
      <c r="A16" s="20"/>
      <c r="B16" s="2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1">
        <f t="shared" si="0"/>
        <v>0</v>
      </c>
    </row>
    <row r="17" spans="1:19" x14ac:dyDescent="0.25">
      <c r="A17" s="20"/>
      <c r="B17" s="20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1">
        <f t="shared" si="0"/>
        <v>0</v>
      </c>
    </row>
    <row r="18" spans="1:19" x14ac:dyDescent="0.25">
      <c r="A18" s="20"/>
      <c r="B18" s="20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1">
        <f t="shared" si="0"/>
        <v>0</v>
      </c>
    </row>
    <row r="19" spans="1:19" x14ac:dyDescent="0.25">
      <c r="A19" s="20"/>
      <c r="B19" s="20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1">
        <f t="shared" si="0"/>
        <v>0</v>
      </c>
    </row>
    <row r="20" spans="1:19" x14ac:dyDescent="0.25">
      <c r="A20" s="20"/>
      <c r="B20" s="20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1">
        <f t="shared" si="0"/>
        <v>0</v>
      </c>
    </row>
    <row r="21" spans="1:19" x14ac:dyDescent="0.25">
      <c r="A21" s="20"/>
      <c r="B21" s="2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1">
        <f t="shared" si="0"/>
        <v>0</v>
      </c>
    </row>
    <row r="22" spans="1:19" x14ac:dyDescent="0.25">
      <c r="A22" s="20"/>
      <c r="B22" s="20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1">
        <f t="shared" si="0"/>
        <v>0</v>
      </c>
    </row>
    <row r="23" spans="1:19" x14ac:dyDescent="0.25">
      <c r="A23" s="20"/>
      <c r="B23" s="20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1">
        <f t="shared" si="0"/>
        <v>0</v>
      </c>
    </row>
    <row r="24" spans="1:19" x14ac:dyDescent="0.25">
      <c r="A24" s="20"/>
      <c r="B24" s="20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1">
        <f t="shared" si="0"/>
        <v>0</v>
      </c>
    </row>
    <row r="25" spans="1:19" x14ac:dyDescent="0.25">
      <c r="A25" s="3" t="s">
        <v>74</v>
      </c>
      <c r="D25" s="16">
        <f t="shared" ref="D25:S25" si="1">SUM(D5:D24)</f>
        <v>2469.23</v>
      </c>
      <c r="E25" s="16">
        <f t="shared" si="1"/>
        <v>2469.23</v>
      </c>
      <c r="F25" s="16">
        <f t="shared" si="1"/>
        <v>2409.23</v>
      </c>
      <c r="G25" s="16">
        <f t="shared" si="1"/>
        <v>2409.23</v>
      </c>
      <c r="H25" s="16">
        <f t="shared" si="1"/>
        <v>2409.23</v>
      </c>
      <c r="I25" s="16">
        <f t="shared" si="1"/>
        <v>2409.23</v>
      </c>
      <c r="J25" s="16">
        <f t="shared" si="1"/>
        <v>2409.23</v>
      </c>
      <c r="K25" s="16">
        <f t="shared" si="1"/>
        <v>2409.23</v>
      </c>
      <c r="L25" s="16">
        <f t="shared" si="1"/>
        <v>2409.23</v>
      </c>
      <c r="M25" s="16">
        <f t="shared" si="1"/>
        <v>2409.23</v>
      </c>
      <c r="N25" s="16">
        <f t="shared" si="1"/>
        <v>2409.23</v>
      </c>
      <c r="O25" s="16">
        <f t="shared" si="1"/>
        <v>2409.23</v>
      </c>
      <c r="P25" s="16">
        <f t="shared" si="1"/>
        <v>2409.23</v>
      </c>
      <c r="Q25" s="16">
        <f t="shared" si="1"/>
        <v>2409.23</v>
      </c>
      <c r="R25" s="16">
        <f t="shared" si="1"/>
        <v>2409.23</v>
      </c>
      <c r="S25" s="16">
        <f t="shared" si="1"/>
        <v>36258.449999999997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9DDB"/>
  </sheetPr>
  <dimension ref="A1:S11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6" customWidth="1"/>
    <col min="3" max="3" width="26" customWidth="1"/>
    <col min="4" max="19" width="12.42578125" customWidth="1"/>
  </cols>
  <sheetData>
    <row r="1" spans="1:19" ht="20.25" x14ac:dyDescent="0.3">
      <c r="A1" s="1" t="s">
        <v>75</v>
      </c>
    </row>
    <row r="2" spans="1:19" x14ac:dyDescent="0.25">
      <c r="A2" s="2" t="s">
        <v>76</v>
      </c>
    </row>
    <row r="4" spans="1:19" x14ac:dyDescent="0.25">
      <c r="A4" s="9" t="s">
        <v>34</v>
      </c>
      <c r="B4" s="9" t="s">
        <v>12</v>
      </c>
      <c r="C4" s="9" t="s">
        <v>35</v>
      </c>
      <c r="D4" s="18">
        <v>46296</v>
      </c>
      <c r="E4" s="18">
        <v>46327</v>
      </c>
      <c r="F4" s="18">
        <v>46357</v>
      </c>
      <c r="G4" s="18">
        <v>46388</v>
      </c>
      <c r="H4" s="18">
        <v>46419</v>
      </c>
      <c r="I4" s="18">
        <v>46447</v>
      </c>
      <c r="J4" s="18">
        <v>46478</v>
      </c>
      <c r="K4" s="18">
        <v>46508</v>
      </c>
      <c r="L4" s="18">
        <v>46539</v>
      </c>
      <c r="M4" s="18">
        <v>46569</v>
      </c>
      <c r="N4" s="18">
        <v>46600</v>
      </c>
      <c r="O4" s="18">
        <v>46631</v>
      </c>
      <c r="P4" s="18">
        <v>46661</v>
      </c>
      <c r="Q4" s="18">
        <v>46692</v>
      </c>
      <c r="R4" s="18">
        <v>46722</v>
      </c>
      <c r="S4" s="9" t="s">
        <v>36</v>
      </c>
    </row>
    <row r="5" spans="1:19" x14ac:dyDescent="0.25">
      <c r="A5" s="3" t="s">
        <v>77</v>
      </c>
      <c r="B5" s="10" t="s">
        <v>78</v>
      </c>
      <c r="D5" s="19">
        <v>3126.15</v>
      </c>
      <c r="E5" s="19">
        <v>1319.86</v>
      </c>
      <c r="F5" s="19">
        <v>659.7</v>
      </c>
      <c r="G5" s="19">
        <v>365.14</v>
      </c>
      <c r="H5" s="19">
        <v>81.48</v>
      </c>
      <c r="I5" s="19">
        <v>52.41</v>
      </c>
      <c r="J5" s="19">
        <v>52.41</v>
      </c>
      <c r="K5" s="19">
        <v>52.41</v>
      </c>
      <c r="L5" s="19">
        <v>52.41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1">
        <f>SUM(D5:R5)</f>
        <v>5761.9699999999993</v>
      </c>
    </row>
    <row r="6" spans="1:19" x14ac:dyDescent="0.25">
      <c r="A6" s="3" t="s">
        <v>79</v>
      </c>
      <c r="B6" s="10" t="s">
        <v>78</v>
      </c>
      <c r="D6" s="19">
        <v>3457.84</v>
      </c>
      <c r="E6" s="19">
        <v>1052.1400000000001</v>
      </c>
      <c r="F6" s="19">
        <v>827.8</v>
      </c>
      <c r="G6" s="19">
        <v>677.64</v>
      </c>
      <c r="H6" s="19">
        <v>622.65</v>
      </c>
      <c r="I6" s="19">
        <v>614.04</v>
      </c>
      <c r="J6" s="19">
        <v>488.21</v>
      </c>
      <c r="K6" s="19">
        <v>488.21</v>
      </c>
      <c r="L6" s="19">
        <v>23.07</v>
      </c>
      <c r="M6" s="19">
        <v>23.07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1">
        <f>SUM(D6:R6)</f>
        <v>8274.67</v>
      </c>
    </row>
    <row r="7" spans="1:19" x14ac:dyDescent="0.25">
      <c r="A7" s="10" t="s">
        <v>80</v>
      </c>
      <c r="B7" s="10" t="s">
        <v>78</v>
      </c>
      <c r="C7" s="2" t="s">
        <v>81</v>
      </c>
      <c r="D7" s="11">
        <f>SUMPRODUCT(('Compras Cartão'!$C$5:$C$204=Config!$A$12)*('Compras Cartão'!$F$5:$F$204&lt;=D$4)*('Compras Cartão'!$H$5:$H$204&gt;=D$4)*('Compras Cartão'!$G$5:$G$204))</f>
        <v>0</v>
      </c>
      <c r="E7" s="11">
        <f>SUMPRODUCT(('Compras Cartão'!$C$5:$C$204=Config!$A$12)*('Compras Cartão'!$F$5:$F$204&lt;=E$4)*('Compras Cartão'!$H$5:$H$204&gt;=E$4)*('Compras Cartão'!$G$5:$G$204))</f>
        <v>0</v>
      </c>
      <c r="F7" s="11">
        <f>SUMPRODUCT(('Compras Cartão'!$C$5:$C$204=Config!$A$12)*('Compras Cartão'!$F$5:$F$204&lt;=F$4)*('Compras Cartão'!$H$5:$H$204&gt;=F$4)*('Compras Cartão'!$G$5:$G$204))</f>
        <v>0</v>
      </c>
      <c r="G7" s="11">
        <f>SUMPRODUCT(('Compras Cartão'!$C$5:$C$204=Config!$A$12)*('Compras Cartão'!$F$5:$F$204&lt;=G$4)*('Compras Cartão'!$H$5:$H$204&gt;=G$4)*('Compras Cartão'!$G$5:$G$204))</f>
        <v>0</v>
      </c>
      <c r="H7" s="11">
        <f>SUMPRODUCT(('Compras Cartão'!$C$5:$C$204=Config!$A$12)*('Compras Cartão'!$F$5:$F$204&lt;=H$4)*('Compras Cartão'!$H$5:$H$204&gt;=H$4)*('Compras Cartão'!$G$5:$G$204))</f>
        <v>0</v>
      </c>
      <c r="I7" s="11">
        <f>SUMPRODUCT(('Compras Cartão'!$C$5:$C$204=Config!$A$12)*('Compras Cartão'!$F$5:$F$204&lt;=I$4)*('Compras Cartão'!$H$5:$H$204&gt;=I$4)*('Compras Cartão'!$G$5:$G$204))</f>
        <v>0</v>
      </c>
      <c r="J7" s="11">
        <f>SUMPRODUCT(('Compras Cartão'!$C$5:$C$204=Config!$A$12)*('Compras Cartão'!$F$5:$F$204&lt;=J$4)*('Compras Cartão'!$H$5:$H$204&gt;=J$4)*('Compras Cartão'!$G$5:$G$204))</f>
        <v>0</v>
      </c>
      <c r="K7" s="11">
        <f>SUMPRODUCT(('Compras Cartão'!$C$5:$C$204=Config!$A$12)*('Compras Cartão'!$F$5:$F$204&lt;=K$4)*('Compras Cartão'!$H$5:$H$204&gt;=K$4)*('Compras Cartão'!$G$5:$G$204))</f>
        <v>0</v>
      </c>
      <c r="L7" s="11">
        <f>SUMPRODUCT(('Compras Cartão'!$C$5:$C$204=Config!$A$12)*('Compras Cartão'!$F$5:$F$204&lt;=L$4)*('Compras Cartão'!$H$5:$H$204&gt;=L$4)*('Compras Cartão'!$G$5:$G$204))</f>
        <v>0</v>
      </c>
      <c r="M7" s="11">
        <f>SUMPRODUCT(('Compras Cartão'!$C$5:$C$204=Config!$A$12)*('Compras Cartão'!$F$5:$F$204&lt;=M$4)*('Compras Cartão'!$H$5:$H$204&gt;=M$4)*('Compras Cartão'!$G$5:$G$204))</f>
        <v>0</v>
      </c>
      <c r="N7" s="11">
        <f>SUMPRODUCT(('Compras Cartão'!$C$5:$C$204=Config!$A$12)*('Compras Cartão'!$F$5:$F$204&lt;=N$4)*('Compras Cartão'!$H$5:$H$204&gt;=N$4)*('Compras Cartão'!$G$5:$G$204))</f>
        <v>0</v>
      </c>
      <c r="O7" s="11">
        <f>SUMPRODUCT(('Compras Cartão'!$C$5:$C$204=Config!$A$12)*('Compras Cartão'!$F$5:$F$204&lt;=O$4)*('Compras Cartão'!$H$5:$H$204&gt;=O$4)*('Compras Cartão'!$G$5:$G$204))</f>
        <v>0</v>
      </c>
      <c r="P7" s="11">
        <f>SUMPRODUCT(('Compras Cartão'!$C$5:$C$204=Config!$A$12)*('Compras Cartão'!$F$5:$F$204&lt;=P$4)*('Compras Cartão'!$H$5:$H$204&gt;=P$4)*('Compras Cartão'!$G$5:$G$204))</f>
        <v>0</v>
      </c>
      <c r="Q7" s="11">
        <f>SUMPRODUCT(('Compras Cartão'!$C$5:$C$204=Config!$A$12)*('Compras Cartão'!$F$5:$F$204&lt;=Q$4)*('Compras Cartão'!$H$5:$H$204&gt;=Q$4)*('Compras Cartão'!$G$5:$G$204))</f>
        <v>0</v>
      </c>
      <c r="R7" s="11">
        <f>SUMPRODUCT(('Compras Cartão'!$C$5:$C$204=Config!$A$12)*('Compras Cartão'!$F$5:$F$204&lt;=R$4)*('Compras Cartão'!$H$5:$H$204&gt;=R$4)*('Compras Cartão'!$G$5:$G$204))</f>
        <v>0</v>
      </c>
      <c r="S7" s="11">
        <f>SUM(D7:R7)</f>
        <v>0</v>
      </c>
    </row>
    <row r="8" spans="1:19" x14ac:dyDescent="0.25">
      <c r="A8" s="10" t="s">
        <v>82</v>
      </c>
      <c r="B8" s="10" t="s">
        <v>78</v>
      </c>
      <c r="C8" s="2" t="s">
        <v>81</v>
      </c>
      <c r="D8" s="11">
        <f>SUMPRODUCT(('Compras Cartão'!$C$5:$C$204=Config!$A$13)*('Compras Cartão'!$F$5:$F$204&lt;=D$4)*('Compras Cartão'!$H$5:$H$204&gt;=D$4)*('Compras Cartão'!$G$5:$G$204))</f>
        <v>0</v>
      </c>
      <c r="E8" s="11">
        <f>SUMPRODUCT(('Compras Cartão'!$C$5:$C$204=Config!$A$13)*('Compras Cartão'!$F$5:$F$204&lt;=E$4)*('Compras Cartão'!$H$5:$H$204&gt;=E$4)*('Compras Cartão'!$G$5:$G$204))</f>
        <v>0</v>
      </c>
      <c r="F8" s="11">
        <f>SUMPRODUCT(('Compras Cartão'!$C$5:$C$204=Config!$A$13)*('Compras Cartão'!$F$5:$F$204&lt;=F$4)*('Compras Cartão'!$H$5:$H$204&gt;=F$4)*('Compras Cartão'!$G$5:$G$204))</f>
        <v>0</v>
      </c>
      <c r="G8" s="11">
        <f>SUMPRODUCT(('Compras Cartão'!$C$5:$C$204=Config!$A$13)*('Compras Cartão'!$F$5:$F$204&lt;=G$4)*('Compras Cartão'!$H$5:$H$204&gt;=G$4)*('Compras Cartão'!$G$5:$G$204))</f>
        <v>0</v>
      </c>
      <c r="H8" s="11">
        <f>SUMPRODUCT(('Compras Cartão'!$C$5:$C$204=Config!$A$13)*('Compras Cartão'!$F$5:$F$204&lt;=H$4)*('Compras Cartão'!$H$5:$H$204&gt;=H$4)*('Compras Cartão'!$G$5:$G$204))</f>
        <v>0</v>
      </c>
      <c r="I8" s="11">
        <f>SUMPRODUCT(('Compras Cartão'!$C$5:$C$204=Config!$A$13)*('Compras Cartão'!$F$5:$F$204&lt;=I$4)*('Compras Cartão'!$H$5:$H$204&gt;=I$4)*('Compras Cartão'!$G$5:$G$204))</f>
        <v>0</v>
      </c>
      <c r="J8" s="11">
        <f>SUMPRODUCT(('Compras Cartão'!$C$5:$C$204=Config!$A$13)*('Compras Cartão'!$F$5:$F$204&lt;=J$4)*('Compras Cartão'!$H$5:$H$204&gt;=J$4)*('Compras Cartão'!$G$5:$G$204))</f>
        <v>0</v>
      </c>
      <c r="K8" s="11">
        <f>SUMPRODUCT(('Compras Cartão'!$C$5:$C$204=Config!$A$13)*('Compras Cartão'!$F$5:$F$204&lt;=K$4)*('Compras Cartão'!$H$5:$H$204&gt;=K$4)*('Compras Cartão'!$G$5:$G$204))</f>
        <v>0</v>
      </c>
      <c r="L8" s="11">
        <f>SUMPRODUCT(('Compras Cartão'!$C$5:$C$204=Config!$A$13)*('Compras Cartão'!$F$5:$F$204&lt;=L$4)*('Compras Cartão'!$H$5:$H$204&gt;=L$4)*('Compras Cartão'!$G$5:$G$204))</f>
        <v>0</v>
      </c>
      <c r="M8" s="11">
        <f>SUMPRODUCT(('Compras Cartão'!$C$5:$C$204=Config!$A$13)*('Compras Cartão'!$F$5:$F$204&lt;=M$4)*('Compras Cartão'!$H$5:$H$204&gt;=M$4)*('Compras Cartão'!$G$5:$G$204))</f>
        <v>0</v>
      </c>
      <c r="N8" s="11">
        <f>SUMPRODUCT(('Compras Cartão'!$C$5:$C$204=Config!$A$13)*('Compras Cartão'!$F$5:$F$204&lt;=N$4)*('Compras Cartão'!$H$5:$H$204&gt;=N$4)*('Compras Cartão'!$G$5:$G$204))</f>
        <v>0</v>
      </c>
      <c r="O8" s="11">
        <f>SUMPRODUCT(('Compras Cartão'!$C$5:$C$204=Config!$A$13)*('Compras Cartão'!$F$5:$F$204&lt;=O$4)*('Compras Cartão'!$H$5:$H$204&gt;=O$4)*('Compras Cartão'!$G$5:$G$204))</f>
        <v>0</v>
      </c>
      <c r="P8" s="11">
        <f>SUMPRODUCT(('Compras Cartão'!$C$5:$C$204=Config!$A$13)*('Compras Cartão'!$F$5:$F$204&lt;=P$4)*('Compras Cartão'!$H$5:$H$204&gt;=P$4)*('Compras Cartão'!$G$5:$G$204))</f>
        <v>0</v>
      </c>
      <c r="Q8" s="11">
        <f>SUMPRODUCT(('Compras Cartão'!$C$5:$C$204=Config!$A$13)*('Compras Cartão'!$F$5:$F$204&lt;=Q$4)*('Compras Cartão'!$H$5:$H$204&gt;=Q$4)*('Compras Cartão'!$G$5:$G$204))</f>
        <v>0</v>
      </c>
      <c r="R8" s="11">
        <f>SUMPRODUCT(('Compras Cartão'!$C$5:$C$204=Config!$A$13)*('Compras Cartão'!$F$5:$F$204&lt;=R$4)*('Compras Cartão'!$H$5:$H$204&gt;=R$4)*('Compras Cartão'!$G$5:$G$204))</f>
        <v>0</v>
      </c>
      <c r="S8" s="11">
        <f>SUM(D8:R8)</f>
        <v>0</v>
      </c>
    </row>
    <row r="9" spans="1:19" x14ac:dyDescent="0.25">
      <c r="A9" s="3" t="s">
        <v>83</v>
      </c>
      <c r="D9" s="16">
        <f t="shared" ref="D9:S9" si="0">D5+D7</f>
        <v>3126.15</v>
      </c>
      <c r="E9" s="16">
        <f t="shared" si="0"/>
        <v>1319.86</v>
      </c>
      <c r="F9" s="16">
        <f t="shared" si="0"/>
        <v>659.7</v>
      </c>
      <c r="G9" s="16">
        <f t="shared" si="0"/>
        <v>365.14</v>
      </c>
      <c r="H9" s="16">
        <f t="shared" si="0"/>
        <v>81.48</v>
      </c>
      <c r="I9" s="16">
        <f t="shared" si="0"/>
        <v>52.41</v>
      </c>
      <c r="J9" s="16">
        <f t="shared" si="0"/>
        <v>52.41</v>
      </c>
      <c r="K9" s="16">
        <f t="shared" si="0"/>
        <v>52.41</v>
      </c>
      <c r="L9" s="16">
        <f t="shared" si="0"/>
        <v>52.41</v>
      </c>
      <c r="M9" s="16">
        <f t="shared" si="0"/>
        <v>0</v>
      </c>
      <c r="N9" s="16">
        <f t="shared" si="0"/>
        <v>0</v>
      </c>
      <c r="O9" s="16">
        <f t="shared" si="0"/>
        <v>0</v>
      </c>
      <c r="P9" s="16">
        <f t="shared" si="0"/>
        <v>0</v>
      </c>
      <c r="Q9" s="16">
        <f t="shared" si="0"/>
        <v>0</v>
      </c>
      <c r="R9" s="16">
        <f t="shared" si="0"/>
        <v>0</v>
      </c>
      <c r="S9" s="16">
        <f t="shared" si="0"/>
        <v>5761.9699999999993</v>
      </c>
    </row>
    <row r="10" spans="1:19" x14ac:dyDescent="0.25">
      <c r="A10" s="3" t="s">
        <v>84</v>
      </c>
      <c r="D10" s="16">
        <f t="shared" ref="D10:S10" si="1">D6+D8</f>
        <v>3457.84</v>
      </c>
      <c r="E10" s="16">
        <f t="shared" si="1"/>
        <v>1052.1400000000001</v>
      </c>
      <c r="F10" s="16">
        <f t="shared" si="1"/>
        <v>827.8</v>
      </c>
      <c r="G10" s="16">
        <f t="shared" si="1"/>
        <v>677.64</v>
      </c>
      <c r="H10" s="16">
        <f t="shared" si="1"/>
        <v>622.65</v>
      </c>
      <c r="I10" s="16">
        <f t="shared" si="1"/>
        <v>614.04</v>
      </c>
      <c r="J10" s="16">
        <f t="shared" si="1"/>
        <v>488.21</v>
      </c>
      <c r="K10" s="16">
        <f t="shared" si="1"/>
        <v>488.21</v>
      </c>
      <c r="L10" s="16">
        <f t="shared" si="1"/>
        <v>23.07</v>
      </c>
      <c r="M10" s="16">
        <f t="shared" si="1"/>
        <v>23.07</v>
      </c>
      <c r="N10" s="16">
        <f t="shared" si="1"/>
        <v>0</v>
      </c>
      <c r="O10" s="16">
        <f t="shared" si="1"/>
        <v>0</v>
      </c>
      <c r="P10" s="16">
        <f t="shared" si="1"/>
        <v>0</v>
      </c>
      <c r="Q10" s="16">
        <f t="shared" si="1"/>
        <v>0</v>
      </c>
      <c r="R10" s="16">
        <f t="shared" si="1"/>
        <v>0</v>
      </c>
      <c r="S10" s="16">
        <f t="shared" si="1"/>
        <v>8274.67</v>
      </c>
    </row>
    <row r="11" spans="1:19" x14ac:dyDescent="0.25">
      <c r="A11" s="3" t="s">
        <v>85</v>
      </c>
      <c r="D11" s="16">
        <f t="shared" ref="D11:S11" si="2">D9+D10</f>
        <v>6583.99</v>
      </c>
      <c r="E11" s="16">
        <f t="shared" si="2"/>
        <v>2372</v>
      </c>
      <c r="F11" s="16">
        <f t="shared" si="2"/>
        <v>1487.5</v>
      </c>
      <c r="G11" s="16">
        <f t="shared" si="2"/>
        <v>1042.78</v>
      </c>
      <c r="H11" s="16">
        <f t="shared" si="2"/>
        <v>704.13</v>
      </c>
      <c r="I11" s="16">
        <f t="shared" si="2"/>
        <v>666.44999999999993</v>
      </c>
      <c r="J11" s="16">
        <f t="shared" si="2"/>
        <v>540.62</v>
      </c>
      <c r="K11" s="16">
        <f t="shared" si="2"/>
        <v>540.62</v>
      </c>
      <c r="L11" s="16">
        <f t="shared" si="2"/>
        <v>75.47999999999999</v>
      </c>
      <c r="M11" s="16">
        <f t="shared" si="2"/>
        <v>23.07</v>
      </c>
      <c r="N11" s="16">
        <f t="shared" si="2"/>
        <v>0</v>
      </c>
      <c r="O11" s="16">
        <f t="shared" si="2"/>
        <v>0</v>
      </c>
      <c r="P11" s="16">
        <f t="shared" si="2"/>
        <v>0</v>
      </c>
      <c r="Q11" s="16">
        <f t="shared" si="2"/>
        <v>0</v>
      </c>
      <c r="R11" s="16">
        <f t="shared" si="2"/>
        <v>0</v>
      </c>
      <c r="S11" s="16">
        <f t="shared" si="2"/>
        <v>14036.64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39DDB"/>
  </sheetPr>
  <dimension ref="A1:I20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14" customWidth="1"/>
    <col min="5" max="5" width="11" customWidth="1"/>
    <col min="6" max="8" width="14" customWidth="1"/>
    <col min="9" max="9" width="16" customWidth="1"/>
  </cols>
  <sheetData>
    <row r="1" spans="1:9" ht="20.25" x14ac:dyDescent="0.3">
      <c r="A1" s="1" t="s">
        <v>86</v>
      </c>
    </row>
    <row r="2" spans="1:9" x14ac:dyDescent="0.25">
      <c r="A2" s="2" t="s">
        <v>87</v>
      </c>
    </row>
    <row r="4" spans="1:9" ht="30" x14ac:dyDescent="0.25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94</v>
      </c>
      <c r="H4" s="9" t="s">
        <v>95</v>
      </c>
      <c r="I4" s="9" t="s">
        <v>12</v>
      </c>
    </row>
    <row r="5" spans="1:9" x14ac:dyDescent="0.25">
      <c r="A5" s="21"/>
      <c r="B5" s="20"/>
      <c r="C5" s="20"/>
      <c r="D5" s="19"/>
      <c r="E5" s="22"/>
      <c r="F5" s="4"/>
      <c r="G5" s="11">
        <f t="shared" ref="G5:G36" si="0">IF(OR(D5="",E5="",N(E5)=0),0,D5/E5)</f>
        <v>0</v>
      </c>
      <c r="H5" s="23">
        <f t="shared" ref="H5:H36" si="1">IF(OR(F5="",E5=""),0,EDATE(F5,E5-1))</f>
        <v>0</v>
      </c>
      <c r="I5" s="20"/>
    </row>
    <row r="6" spans="1:9" x14ac:dyDescent="0.25">
      <c r="A6" s="21"/>
      <c r="B6" s="20"/>
      <c r="C6" s="20"/>
      <c r="D6" s="19"/>
      <c r="E6" s="22"/>
      <c r="F6" s="4"/>
      <c r="G6" s="11">
        <f t="shared" si="0"/>
        <v>0</v>
      </c>
      <c r="H6" s="23">
        <f t="shared" si="1"/>
        <v>0</v>
      </c>
      <c r="I6" s="20"/>
    </row>
    <row r="7" spans="1:9" x14ac:dyDescent="0.25">
      <c r="A7" s="21"/>
      <c r="B7" s="20"/>
      <c r="C7" s="20"/>
      <c r="D7" s="19"/>
      <c r="E7" s="22"/>
      <c r="F7" s="4"/>
      <c r="G7" s="11">
        <f t="shared" si="0"/>
        <v>0</v>
      </c>
      <c r="H7" s="23">
        <f t="shared" si="1"/>
        <v>0</v>
      </c>
      <c r="I7" s="20"/>
    </row>
    <row r="8" spans="1:9" x14ac:dyDescent="0.25">
      <c r="A8" s="21"/>
      <c r="B8" s="20"/>
      <c r="C8" s="20"/>
      <c r="D8" s="19"/>
      <c r="E8" s="22"/>
      <c r="F8" s="4"/>
      <c r="G8" s="11">
        <f t="shared" si="0"/>
        <v>0</v>
      </c>
      <c r="H8" s="23">
        <f t="shared" si="1"/>
        <v>0</v>
      </c>
      <c r="I8" s="20"/>
    </row>
    <row r="9" spans="1:9" x14ac:dyDescent="0.25">
      <c r="A9" s="21"/>
      <c r="B9" s="20"/>
      <c r="C9" s="20"/>
      <c r="D9" s="19"/>
      <c r="E9" s="22"/>
      <c r="F9" s="4"/>
      <c r="G9" s="11">
        <f t="shared" si="0"/>
        <v>0</v>
      </c>
      <c r="H9" s="23">
        <f t="shared" si="1"/>
        <v>0</v>
      </c>
      <c r="I9" s="20"/>
    </row>
    <row r="10" spans="1:9" x14ac:dyDescent="0.25">
      <c r="A10" s="21"/>
      <c r="B10" s="20"/>
      <c r="C10" s="20"/>
      <c r="D10" s="19"/>
      <c r="E10" s="22"/>
      <c r="F10" s="4"/>
      <c r="G10" s="11">
        <f t="shared" si="0"/>
        <v>0</v>
      </c>
      <c r="H10" s="23">
        <f t="shared" si="1"/>
        <v>0</v>
      </c>
      <c r="I10" s="20"/>
    </row>
    <row r="11" spans="1:9" x14ac:dyDescent="0.25">
      <c r="A11" s="21"/>
      <c r="B11" s="20"/>
      <c r="C11" s="20"/>
      <c r="D11" s="19"/>
      <c r="E11" s="22"/>
      <c r="F11" s="4"/>
      <c r="G11" s="11">
        <f t="shared" si="0"/>
        <v>0</v>
      </c>
      <c r="H11" s="23">
        <f t="shared" si="1"/>
        <v>0</v>
      </c>
      <c r="I11" s="20"/>
    </row>
    <row r="12" spans="1:9" x14ac:dyDescent="0.25">
      <c r="A12" s="21"/>
      <c r="B12" s="20"/>
      <c r="C12" s="20"/>
      <c r="D12" s="19"/>
      <c r="E12" s="22"/>
      <c r="F12" s="4"/>
      <c r="G12" s="11">
        <f t="shared" si="0"/>
        <v>0</v>
      </c>
      <c r="H12" s="23">
        <f t="shared" si="1"/>
        <v>0</v>
      </c>
      <c r="I12" s="20"/>
    </row>
    <row r="13" spans="1:9" x14ac:dyDescent="0.25">
      <c r="A13" s="21"/>
      <c r="B13" s="20"/>
      <c r="C13" s="20"/>
      <c r="D13" s="19"/>
      <c r="E13" s="22"/>
      <c r="F13" s="4"/>
      <c r="G13" s="11">
        <f t="shared" si="0"/>
        <v>0</v>
      </c>
      <c r="H13" s="23">
        <f t="shared" si="1"/>
        <v>0</v>
      </c>
      <c r="I13" s="20"/>
    </row>
    <row r="14" spans="1:9" x14ac:dyDescent="0.25">
      <c r="A14" s="21"/>
      <c r="B14" s="20"/>
      <c r="C14" s="20"/>
      <c r="D14" s="19"/>
      <c r="E14" s="22"/>
      <c r="F14" s="4"/>
      <c r="G14" s="11">
        <f t="shared" si="0"/>
        <v>0</v>
      </c>
      <c r="H14" s="23">
        <f t="shared" si="1"/>
        <v>0</v>
      </c>
      <c r="I14" s="20"/>
    </row>
    <row r="15" spans="1:9" x14ac:dyDescent="0.25">
      <c r="A15" s="21"/>
      <c r="B15" s="20"/>
      <c r="C15" s="20"/>
      <c r="D15" s="19"/>
      <c r="E15" s="22"/>
      <c r="F15" s="4"/>
      <c r="G15" s="11">
        <f t="shared" si="0"/>
        <v>0</v>
      </c>
      <c r="H15" s="23">
        <f t="shared" si="1"/>
        <v>0</v>
      </c>
      <c r="I15" s="20"/>
    </row>
    <row r="16" spans="1:9" x14ac:dyDescent="0.25">
      <c r="A16" s="21"/>
      <c r="B16" s="20"/>
      <c r="C16" s="20"/>
      <c r="D16" s="19"/>
      <c r="E16" s="22"/>
      <c r="F16" s="4"/>
      <c r="G16" s="11">
        <f t="shared" si="0"/>
        <v>0</v>
      </c>
      <c r="H16" s="23">
        <f t="shared" si="1"/>
        <v>0</v>
      </c>
      <c r="I16" s="20"/>
    </row>
    <row r="17" spans="1:9" x14ac:dyDescent="0.25">
      <c r="A17" s="21"/>
      <c r="B17" s="20"/>
      <c r="C17" s="20"/>
      <c r="D17" s="19"/>
      <c r="E17" s="22"/>
      <c r="F17" s="4"/>
      <c r="G17" s="11">
        <f t="shared" si="0"/>
        <v>0</v>
      </c>
      <c r="H17" s="23">
        <f t="shared" si="1"/>
        <v>0</v>
      </c>
      <c r="I17" s="20"/>
    </row>
    <row r="18" spans="1:9" x14ac:dyDescent="0.25">
      <c r="A18" s="21"/>
      <c r="B18" s="20"/>
      <c r="C18" s="20"/>
      <c r="D18" s="19"/>
      <c r="E18" s="22"/>
      <c r="F18" s="4"/>
      <c r="G18" s="11">
        <f t="shared" si="0"/>
        <v>0</v>
      </c>
      <c r="H18" s="23">
        <f t="shared" si="1"/>
        <v>0</v>
      </c>
      <c r="I18" s="20"/>
    </row>
    <row r="19" spans="1:9" x14ac:dyDescent="0.25">
      <c r="A19" s="21"/>
      <c r="B19" s="20"/>
      <c r="C19" s="20"/>
      <c r="D19" s="19"/>
      <c r="E19" s="22"/>
      <c r="F19" s="4"/>
      <c r="G19" s="11">
        <f t="shared" si="0"/>
        <v>0</v>
      </c>
      <c r="H19" s="23">
        <f t="shared" si="1"/>
        <v>0</v>
      </c>
      <c r="I19" s="20"/>
    </row>
    <row r="20" spans="1:9" x14ac:dyDescent="0.25">
      <c r="A20" s="21"/>
      <c r="B20" s="20"/>
      <c r="C20" s="20"/>
      <c r="D20" s="19"/>
      <c r="E20" s="22"/>
      <c r="F20" s="4"/>
      <c r="G20" s="11">
        <f t="shared" si="0"/>
        <v>0</v>
      </c>
      <c r="H20" s="23">
        <f t="shared" si="1"/>
        <v>0</v>
      </c>
      <c r="I20" s="20"/>
    </row>
    <row r="21" spans="1:9" x14ac:dyDescent="0.25">
      <c r="A21" s="21"/>
      <c r="B21" s="20"/>
      <c r="C21" s="20"/>
      <c r="D21" s="19"/>
      <c r="E21" s="22"/>
      <c r="F21" s="4"/>
      <c r="G21" s="11">
        <f t="shared" si="0"/>
        <v>0</v>
      </c>
      <c r="H21" s="23">
        <f t="shared" si="1"/>
        <v>0</v>
      </c>
      <c r="I21" s="20"/>
    </row>
    <row r="22" spans="1:9" x14ac:dyDescent="0.25">
      <c r="A22" s="21"/>
      <c r="B22" s="20"/>
      <c r="C22" s="20"/>
      <c r="D22" s="19"/>
      <c r="E22" s="22"/>
      <c r="F22" s="4"/>
      <c r="G22" s="11">
        <f t="shared" si="0"/>
        <v>0</v>
      </c>
      <c r="H22" s="23">
        <f t="shared" si="1"/>
        <v>0</v>
      </c>
      <c r="I22" s="20"/>
    </row>
    <row r="23" spans="1:9" x14ac:dyDescent="0.25">
      <c r="A23" s="21"/>
      <c r="B23" s="20"/>
      <c r="C23" s="20"/>
      <c r="D23" s="19"/>
      <c r="E23" s="22"/>
      <c r="F23" s="4"/>
      <c r="G23" s="11">
        <f t="shared" si="0"/>
        <v>0</v>
      </c>
      <c r="H23" s="23">
        <f t="shared" si="1"/>
        <v>0</v>
      </c>
      <c r="I23" s="20"/>
    </row>
    <row r="24" spans="1:9" x14ac:dyDescent="0.25">
      <c r="A24" s="21"/>
      <c r="B24" s="20"/>
      <c r="C24" s="20"/>
      <c r="D24" s="19"/>
      <c r="E24" s="22"/>
      <c r="F24" s="4"/>
      <c r="G24" s="11">
        <f t="shared" si="0"/>
        <v>0</v>
      </c>
      <c r="H24" s="23">
        <f t="shared" si="1"/>
        <v>0</v>
      </c>
      <c r="I24" s="20"/>
    </row>
    <row r="25" spans="1:9" x14ac:dyDescent="0.25">
      <c r="A25" s="21"/>
      <c r="B25" s="20"/>
      <c r="C25" s="20"/>
      <c r="D25" s="19"/>
      <c r="E25" s="22"/>
      <c r="F25" s="4"/>
      <c r="G25" s="11">
        <f t="shared" si="0"/>
        <v>0</v>
      </c>
      <c r="H25" s="23">
        <f t="shared" si="1"/>
        <v>0</v>
      </c>
      <c r="I25" s="20"/>
    </row>
    <row r="26" spans="1:9" x14ac:dyDescent="0.25">
      <c r="A26" s="21"/>
      <c r="B26" s="20"/>
      <c r="C26" s="20"/>
      <c r="D26" s="19"/>
      <c r="E26" s="22"/>
      <c r="F26" s="4"/>
      <c r="G26" s="11">
        <f t="shared" si="0"/>
        <v>0</v>
      </c>
      <c r="H26" s="23">
        <f t="shared" si="1"/>
        <v>0</v>
      </c>
      <c r="I26" s="20"/>
    </row>
    <row r="27" spans="1:9" x14ac:dyDescent="0.25">
      <c r="A27" s="21"/>
      <c r="B27" s="20"/>
      <c r="C27" s="20"/>
      <c r="D27" s="19"/>
      <c r="E27" s="22"/>
      <c r="F27" s="4"/>
      <c r="G27" s="11">
        <f t="shared" si="0"/>
        <v>0</v>
      </c>
      <c r="H27" s="23">
        <f t="shared" si="1"/>
        <v>0</v>
      </c>
      <c r="I27" s="20"/>
    </row>
    <row r="28" spans="1:9" x14ac:dyDescent="0.25">
      <c r="A28" s="21"/>
      <c r="B28" s="20"/>
      <c r="C28" s="20"/>
      <c r="D28" s="19"/>
      <c r="E28" s="22"/>
      <c r="F28" s="4"/>
      <c r="G28" s="11">
        <f t="shared" si="0"/>
        <v>0</v>
      </c>
      <c r="H28" s="23">
        <f t="shared" si="1"/>
        <v>0</v>
      </c>
      <c r="I28" s="20"/>
    </row>
    <row r="29" spans="1:9" x14ac:dyDescent="0.25">
      <c r="A29" s="21"/>
      <c r="B29" s="20"/>
      <c r="C29" s="20"/>
      <c r="D29" s="19"/>
      <c r="E29" s="22"/>
      <c r="F29" s="4"/>
      <c r="G29" s="11">
        <f t="shared" si="0"/>
        <v>0</v>
      </c>
      <c r="H29" s="23">
        <f t="shared" si="1"/>
        <v>0</v>
      </c>
      <c r="I29" s="20"/>
    </row>
    <row r="30" spans="1:9" x14ac:dyDescent="0.25">
      <c r="A30" s="21"/>
      <c r="B30" s="20"/>
      <c r="C30" s="20"/>
      <c r="D30" s="19"/>
      <c r="E30" s="22"/>
      <c r="F30" s="4"/>
      <c r="G30" s="11">
        <f t="shared" si="0"/>
        <v>0</v>
      </c>
      <c r="H30" s="23">
        <f t="shared" si="1"/>
        <v>0</v>
      </c>
      <c r="I30" s="20"/>
    </row>
    <row r="31" spans="1:9" x14ac:dyDescent="0.25">
      <c r="A31" s="21"/>
      <c r="B31" s="20"/>
      <c r="C31" s="20"/>
      <c r="D31" s="19"/>
      <c r="E31" s="22"/>
      <c r="F31" s="4"/>
      <c r="G31" s="11">
        <f t="shared" si="0"/>
        <v>0</v>
      </c>
      <c r="H31" s="23">
        <f t="shared" si="1"/>
        <v>0</v>
      </c>
      <c r="I31" s="20"/>
    </row>
    <row r="32" spans="1:9" x14ac:dyDescent="0.25">
      <c r="A32" s="21"/>
      <c r="B32" s="20"/>
      <c r="C32" s="20"/>
      <c r="D32" s="19"/>
      <c r="E32" s="22"/>
      <c r="F32" s="4"/>
      <c r="G32" s="11">
        <f t="shared" si="0"/>
        <v>0</v>
      </c>
      <c r="H32" s="23">
        <f t="shared" si="1"/>
        <v>0</v>
      </c>
      <c r="I32" s="20"/>
    </row>
    <row r="33" spans="1:9" x14ac:dyDescent="0.25">
      <c r="A33" s="21"/>
      <c r="B33" s="20"/>
      <c r="C33" s="20"/>
      <c r="D33" s="19"/>
      <c r="E33" s="22"/>
      <c r="F33" s="4"/>
      <c r="G33" s="11">
        <f t="shared" si="0"/>
        <v>0</v>
      </c>
      <c r="H33" s="23">
        <f t="shared" si="1"/>
        <v>0</v>
      </c>
      <c r="I33" s="20"/>
    </row>
    <row r="34" spans="1:9" x14ac:dyDescent="0.25">
      <c r="A34" s="21"/>
      <c r="B34" s="20"/>
      <c r="C34" s="20"/>
      <c r="D34" s="19"/>
      <c r="E34" s="22"/>
      <c r="F34" s="4"/>
      <c r="G34" s="11">
        <f t="shared" si="0"/>
        <v>0</v>
      </c>
      <c r="H34" s="23">
        <f t="shared" si="1"/>
        <v>0</v>
      </c>
      <c r="I34" s="20"/>
    </row>
    <row r="35" spans="1:9" x14ac:dyDescent="0.25">
      <c r="A35" s="21"/>
      <c r="B35" s="20"/>
      <c r="C35" s="20"/>
      <c r="D35" s="19"/>
      <c r="E35" s="22"/>
      <c r="F35" s="4"/>
      <c r="G35" s="11">
        <f t="shared" si="0"/>
        <v>0</v>
      </c>
      <c r="H35" s="23">
        <f t="shared" si="1"/>
        <v>0</v>
      </c>
      <c r="I35" s="20"/>
    </row>
    <row r="36" spans="1:9" x14ac:dyDescent="0.25">
      <c r="A36" s="21"/>
      <c r="B36" s="20"/>
      <c r="C36" s="20"/>
      <c r="D36" s="19"/>
      <c r="E36" s="22"/>
      <c r="F36" s="4"/>
      <c r="G36" s="11">
        <f t="shared" si="0"/>
        <v>0</v>
      </c>
      <c r="H36" s="23">
        <f t="shared" si="1"/>
        <v>0</v>
      </c>
      <c r="I36" s="20"/>
    </row>
    <row r="37" spans="1:9" x14ac:dyDescent="0.25">
      <c r="A37" s="21"/>
      <c r="B37" s="20"/>
      <c r="C37" s="20"/>
      <c r="D37" s="19"/>
      <c r="E37" s="22"/>
      <c r="F37" s="4"/>
      <c r="G37" s="11">
        <f t="shared" ref="G37:G68" si="2">IF(OR(D37="",E37="",N(E37)=0),0,D37/E37)</f>
        <v>0</v>
      </c>
      <c r="H37" s="23">
        <f t="shared" ref="H37:H68" si="3">IF(OR(F37="",E37=""),0,EDATE(F37,E37-1))</f>
        <v>0</v>
      </c>
      <c r="I37" s="20"/>
    </row>
    <row r="38" spans="1:9" x14ac:dyDescent="0.25">
      <c r="A38" s="21"/>
      <c r="B38" s="20"/>
      <c r="C38" s="20"/>
      <c r="D38" s="19"/>
      <c r="E38" s="22"/>
      <c r="F38" s="4"/>
      <c r="G38" s="11">
        <f t="shared" si="2"/>
        <v>0</v>
      </c>
      <c r="H38" s="23">
        <f t="shared" si="3"/>
        <v>0</v>
      </c>
      <c r="I38" s="20"/>
    </row>
    <row r="39" spans="1:9" x14ac:dyDescent="0.25">
      <c r="A39" s="21"/>
      <c r="B39" s="20"/>
      <c r="C39" s="20"/>
      <c r="D39" s="19"/>
      <c r="E39" s="22"/>
      <c r="F39" s="4"/>
      <c r="G39" s="11">
        <f t="shared" si="2"/>
        <v>0</v>
      </c>
      <c r="H39" s="23">
        <f t="shared" si="3"/>
        <v>0</v>
      </c>
      <c r="I39" s="20"/>
    </row>
    <row r="40" spans="1:9" x14ac:dyDescent="0.25">
      <c r="A40" s="21"/>
      <c r="B40" s="20"/>
      <c r="C40" s="20"/>
      <c r="D40" s="19"/>
      <c r="E40" s="22"/>
      <c r="F40" s="4"/>
      <c r="G40" s="11">
        <f t="shared" si="2"/>
        <v>0</v>
      </c>
      <c r="H40" s="23">
        <f t="shared" si="3"/>
        <v>0</v>
      </c>
      <c r="I40" s="20"/>
    </row>
    <row r="41" spans="1:9" x14ac:dyDescent="0.25">
      <c r="A41" s="21"/>
      <c r="B41" s="20"/>
      <c r="C41" s="20"/>
      <c r="D41" s="19"/>
      <c r="E41" s="22"/>
      <c r="F41" s="4"/>
      <c r="G41" s="11">
        <f t="shared" si="2"/>
        <v>0</v>
      </c>
      <c r="H41" s="23">
        <f t="shared" si="3"/>
        <v>0</v>
      </c>
      <c r="I41" s="20"/>
    </row>
    <row r="42" spans="1:9" x14ac:dyDescent="0.25">
      <c r="A42" s="21"/>
      <c r="B42" s="20"/>
      <c r="C42" s="20"/>
      <c r="D42" s="19"/>
      <c r="E42" s="22"/>
      <c r="F42" s="4"/>
      <c r="G42" s="11">
        <f t="shared" si="2"/>
        <v>0</v>
      </c>
      <c r="H42" s="23">
        <f t="shared" si="3"/>
        <v>0</v>
      </c>
      <c r="I42" s="20"/>
    </row>
    <row r="43" spans="1:9" x14ac:dyDescent="0.25">
      <c r="A43" s="21"/>
      <c r="B43" s="20"/>
      <c r="C43" s="20"/>
      <c r="D43" s="19"/>
      <c r="E43" s="22"/>
      <c r="F43" s="4"/>
      <c r="G43" s="11">
        <f t="shared" si="2"/>
        <v>0</v>
      </c>
      <c r="H43" s="23">
        <f t="shared" si="3"/>
        <v>0</v>
      </c>
      <c r="I43" s="20"/>
    </row>
    <row r="44" spans="1:9" x14ac:dyDescent="0.25">
      <c r="A44" s="21"/>
      <c r="B44" s="20"/>
      <c r="C44" s="20"/>
      <c r="D44" s="19"/>
      <c r="E44" s="22"/>
      <c r="F44" s="4"/>
      <c r="G44" s="11">
        <f t="shared" si="2"/>
        <v>0</v>
      </c>
      <c r="H44" s="23">
        <f t="shared" si="3"/>
        <v>0</v>
      </c>
      <c r="I44" s="20"/>
    </row>
    <row r="45" spans="1:9" x14ac:dyDescent="0.25">
      <c r="A45" s="21"/>
      <c r="B45" s="20"/>
      <c r="C45" s="20"/>
      <c r="D45" s="19"/>
      <c r="E45" s="22"/>
      <c r="F45" s="4"/>
      <c r="G45" s="11">
        <f t="shared" si="2"/>
        <v>0</v>
      </c>
      <c r="H45" s="23">
        <f t="shared" si="3"/>
        <v>0</v>
      </c>
      <c r="I45" s="20"/>
    </row>
    <row r="46" spans="1:9" x14ac:dyDescent="0.25">
      <c r="A46" s="21"/>
      <c r="B46" s="20"/>
      <c r="C46" s="20"/>
      <c r="D46" s="19"/>
      <c r="E46" s="22"/>
      <c r="F46" s="4"/>
      <c r="G46" s="11">
        <f t="shared" si="2"/>
        <v>0</v>
      </c>
      <c r="H46" s="23">
        <f t="shared" si="3"/>
        <v>0</v>
      </c>
      <c r="I46" s="20"/>
    </row>
    <row r="47" spans="1:9" x14ac:dyDescent="0.25">
      <c r="A47" s="21"/>
      <c r="B47" s="20"/>
      <c r="C47" s="20"/>
      <c r="D47" s="19"/>
      <c r="E47" s="22"/>
      <c r="F47" s="4"/>
      <c r="G47" s="11">
        <f t="shared" si="2"/>
        <v>0</v>
      </c>
      <c r="H47" s="23">
        <f t="shared" si="3"/>
        <v>0</v>
      </c>
      <c r="I47" s="20"/>
    </row>
    <row r="48" spans="1:9" x14ac:dyDescent="0.25">
      <c r="A48" s="21"/>
      <c r="B48" s="20"/>
      <c r="C48" s="20"/>
      <c r="D48" s="19"/>
      <c r="E48" s="22"/>
      <c r="F48" s="4"/>
      <c r="G48" s="11">
        <f t="shared" si="2"/>
        <v>0</v>
      </c>
      <c r="H48" s="23">
        <f t="shared" si="3"/>
        <v>0</v>
      </c>
      <c r="I48" s="20"/>
    </row>
    <row r="49" spans="1:9" x14ac:dyDescent="0.25">
      <c r="A49" s="21"/>
      <c r="B49" s="20"/>
      <c r="C49" s="20"/>
      <c r="D49" s="19"/>
      <c r="E49" s="22"/>
      <c r="F49" s="4"/>
      <c r="G49" s="11">
        <f t="shared" si="2"/>
        <v>0</v>
      </c>
      <c r="H49" s="23">
        <f t="shared" si="3"/>
        <v>0</v>
      </c>
      <c r="I49" s="20"/>
    </row>
    <row r="50" spans="1:9" x14ac:dyDescent="0.25">
      <c r="A50" s="21"/>
      <c r="B50" s="20"/>
      <c r="C50" s="20"/>
      <c r="D50" s="19"/>
      <c r="E50" s="22"/>
      <c r="F50" s="4"/>
      <c r="G50" s="11">
        <f t="shared" si="2"/>
        <v>0</v>
      </c>
      <c r="H50" s="23">
        <f t="shared" si="3"/>
        <v>0</v>
      </c>
      <c r="I50" s="20"/>
    </row>
    <row r="51" spans="1:9" x14ac:dyDescent="0.25">
      <c r="A51" s="21"/>
      <c r="B51" s="20"/>
      <c r="C51" s="20"/>
      <c r="D51" s="19"/>
      <c r="E51" s="22"/>
      <c r="F51" s="4"/>
      <c r="G51" s="11">
        <f t="shared" si="2"/>
        <v>0</v>
      </c>
      <c r="H51" s="23">
        <f t="shared" si="3"/>
        <v>0</v>
      </c>
      <c r="I51" s="20"/>
    </row>
    <row r="52" spans="1:9" x14ac:dyDescent="0.25">
      <c r="A52" s="21"/>
      <c r="B52" s="20"/>
      <c r="C52" s="20"/>
      <c r="D52" s="19"/>
      <c r="E52" s="22"/>
      <c r="F52" s="4"/>
      <c r="G52" s="11">
        <f t="shared" si="2"/>
        <v>0</v>
      </c>
      <c r="H52" s="23">
        <f t="shared" si="3"/>
        <v>0</v>
      </c>
      <c r="I52" s="20"/>
    </row>
    <row r="53" spans="1:9" x14ac:dyDescent="0.25">
      <c r="A53" s="21"/>
      <c r="B53" s="20"/>
      <c r="C53" s="20"/>
      <c r="D53" s="19"/>
      <c r="E53" s="22"/>
      <c r="F53" s="4"/>
      <c r="G53" s="11">
        <f t="shared" si="2"/>
        <v>0</v>
      </c>
      <c r="H53" s="23">
        <f t="shared" si="3"/>
        <v>0</v>
      </c>
      <c r="I53" s="20"/>
    </row>
    <row r="54" spans="1:9" x14ac:dyDescent="0.25">
      <c r="A54" s="21"/>
      <c r="B54" s="20"/>
      <c r="C54" s="20"/>
      <c r="D54" s="19"/>
      <c r="E54" s="22"/>
      <c r="F54" s="4"/>
      <c r="G54" s="11">
        <f t="shared" si="2"/>
        <v>0</v>
      </c>
      <c r="H54" s="23">
        <f t="shared" si="3"/>
        <v>0</v>
      </c>
      <c r="I54" s="20"/>
    </row>
    <row r="55" spans="1:9" x14ac:dyDescent="0.25">
      <c r="A55" s="21"/>
      <c r="B55" s="20"/>
      <c r="C55" s="20"/>
      <c r="D55" s="19"/>
      <c r="E55" s="22"/>
      <c r="F55" s="4"/>
      <c r="G55" s="11">
        <f t="shared" si="2"/>
        <v>0</v>
      </c>
      <c r="H55" s="23">
        <f t="shared" si="3"/>
        <v>0</v>
      </c>
      <c r="I55" s="20"/>
    </row>
    <row r="56" spans="1:9" x14ac:dyDescent="0.25">
      <c r="A56" s="21"/>
      <c r="B56" s="20"/>
      <c r="C56" s="20"/>
      <c r="D56" s="19"/>
      <c r="E56" s="22"/>
      <c r="F56" s="4"/>
      <c r="G56" s="11">
        <f t="shared" si="2"/>
        <v>0</v>
      </c>
      <c r="H56" s="23">
        <f t="shared" si="3"/>
        <v>0</v>
      </c>
      <c r="I56" s="20"/>
    </row>
    <row r="57" spans="1:9" x14ac:dyDescent="0.25">
      <c r="A57" s="21"/>
      <c r="B57" s="20"/>
      <c r="C57" s="20"/>
      <c r="D57" s="19"/>
      <c r="E57" s="22"/>
      <c r="F57" s="4"/>
      <c r="G57" s="11">
        <f t="shared" si="2"/>
        <v>0</v>
      </c>
      <c r="H57" s="23">
        <f t="shared" si="3"/>
        <v>0</v>
      </c>
      <c r="I57" s="20"/>
    </row>
    <row r="58" spans="1:9" x14ac:dyDescent="0.25">
      <c r="A58" s="21"/>
      <c r="B58" s="20"/>
      <c r="C58" s="20"/>
      <c r="D58" s="19"/>
      <c r="E58" s="22"/>
      <c r="F58" s="4"/>
      <c r="G58" s="11">
        <f t="shared" si="2"/>
        <v>0</v>
      </c>
      <c r="H58" s="23">
        <f t="shared" si="3"/>
        <v>0</v>
      </c>
      <c r="I58" s="20"/>
    </row>
    <row r="59" spans="1:9" x14ac:dyDescent="0.25">
      <c r="A59" s="21"/>
      <c r="B59" s="20"/>
      <c r="C59" s="20"/>
      <c r="D59" s="19"/>
      <c r="E59" s="22"/>
      <c r="F59" s="4"/>
      <c r="G59" s="11">
        <f t="shared" si="2"/>
        <v>0</v>
      </c>
      <c r="H59" s="23">
        <f t="shared" si="3"/>
        <v>0</v>
      </c>
      <c r="I59" s="20"/>
    </row>
    <row r="60" spans="1:9" x14ac:dyDescent="0.25">
      <c r="A60" s="21"/>
      <c r="B60" s="20"/>
      <c r="C60" s="20"/>
      <c r="D60" s="19"/>
      <c r="E60" s="22"/>
      <c r="F60" s="4"/>
      <c r="G60" s="11">
        <f t="shared" si="2"/>
        <v>0</v>
      </c>
      <c r="H60" s="23">
        <f t="shared" si="3"/>
        <v>0</v>
      </c>
      <c r="I60" s="20"/>
    </row>
    <row r="61" spans="1:9" x14ac:dyDescent="0.25">
      <c r="A61" s="21"/>
      <c r="B61" s="20"/>
      <c r="C61" s="20"/>
      <c r="D61" s="19"/>
      <c r="E61" s="22"/>
      <c r="F61" s="4"/>
      <c r="G61" s="11">
        <f t="shared" si="2"/>
        <v>0</v>
      </c>
      <c r="H61" s="23">
        <f t="shared" si="3"/>
        <v>0</v>
      </c>
      <c r="I61" s="20"/>
    </row>
    <row r="62" spans="1:9" x14ac:dyDescent="0.25">
      <c r="A62" s="21"/>
      <c r="B62" s="20"/>
      <c r="C62" s="20"/>
      <c r="D62" s="19"/>
      <c r="E62" s="22"/>
      <c r="F62" s="4"/>
      <c r="G62" s="11">
        <f t="shared" si="2"/>
        <v>0</v>
      </c>
      <c r="H62" s="23">
        <f t="shared" si="3"/>
        <v>0</v>
      </c>
      <c r="I62" s="20"/>
    </row>
    <row r="63" spans="1:9" x14ac:dyDescent="0.25">
      <c r="A63" s="21"/>
      <c r="B63" s="20"/>
      <c r="C63" s="20"/>
      <c r="D63" s="19"/>
      <c r="E63" s="22"/>
      <c r="F63" s="4"/>
      <c r="G63" s="11">
        <f t="shared" si="2"/>
        <v>0</v>
      </c>
      <c r="H63" s="23">
        <f t="shared" si="3"/>
        <v>0</v>
      </c>
      <c r="I63" s="20"/>
    </row>
    <row r="64" spans="1:9" x14ac:dyDescent="0.25">
      <c r="A64" s="21"/>
      <c r="B64" s="20"/>
      <c r="C64" s="20"/>
      <c r="D64" s="19"/>
      <c r="E64" s="22"/>
      <c r="F64" s="4"/>
      <c r="G64" s="11">
        <f t="shared" si="2"/>
        <v>0</v>
      </c>
      <c r="H64" s="23">
        <f t="shared" si="3"/>
        <v>0</v>
      </c>
      <c r="I64" s="20"/>
    </row>
    <row r="65" spans="1:9" x14ac:dyDescent="0.25">
      <c r="A65" s="21"/>
      <c r="B65" s="20"/>
      <c r="C65" s="20"/>
      <c r="D65" s="19"/>
      <c r="E65" s="22"/>
      <c r="F65" s="4"/>
      <c r="G65" s="11">
        <f t="shared" si="2"/>
        <v>0</v>
      </c>
      <c r="H65" s="23">
        <f t="shared" si="3"/>
        <v>0</v>
      </c>
      <c r="I65" s="20"/>
    </row>
    <row r="66" spans="1:9" x14ac:dyDescent="0.25">
      <c r="A66" s="21"/>
      <c r="B66" s="20"/>
      <c r="C66" s="20"/>
      <c r="D66" s="19"/>
      <c r="E66" s="22"/>
      <c r="F66" s="4"/>
      <c r="G66" s="11">
        <f t="shared" si="2"/>
        <v>0</v>
      </c>
      <c r="H66" s="23">
        <f t="shared" si="3"/>
        <v>0</v>
      </c>
      <c r="I66" s="20"/>
    </row>
    <row r="67" spans="1:9" x14ac:dyDescent="0.25">
      <c r="A67" s="21"/>
      <c r="B67" s="20"/>
      <c r="C67" s="20"/>
      <c r="D67" s="19"/>
      <c r="E67" s="22"/>
      <c r="F67" s="4"/>
      <c r="G67" s="11">
        <f t="shared" si="2"/>
        <v>0</v>
      </c>
      <c r="H67" s="23">
        <f t="shared" si="3"/>
        <v>0</v>
      </c>
      <c r="I67" s="20"/>
    </row>
    <row r="68" spans="1:9" x14ac:dyDescent="0.25">
      <c r="A68" s="21"/>
      <c r="B68" s="20"/>
      <c r="C68" s="20"/>
      <c r="D68" s="19"/>
      <c r="E68" s="22"/>
      <c r="F68" s="4"/>
      <c r="G68" s="11">
        <f t="shared" si="2"/>
        <v>0</v>
      </c>
      <c r="H68" s="23">
        <f t="shared" si="3"/>
        <v>0</v>
      </c>
      <c r="I68" s="20"/>
    </row>
    <row r="69" spans="1:9" x14ac:dyDescent="0.25">
      <c r="A69" s="21"/>
      <c r="B69" s="20"/>
      <c r="C69" s="20"/>
      <c r="D69" s="19"/>
      <c r="E69" s="22"/>
      <c r="F69" s="4"/>
      <c r="G69" s="11">
        <f t="shared" ref="G69:G100" si="4">IF(OR(D69="",E69="",N(E69)=0),0,D69/E69)</f>
        <v>0</v>
      </c>
      <c r="H69" s="23">
        <f t="shared" ref="H69:H100" si="5">IF(OR(F69="",E69=""),0,EDATE(F69,E69-1))</f>
        <v>0</v>
      </c>
      <c r="I69" s="20"/>
    </row>
    <row r="70" spans="1:9" x14ac:dyDescent="0.25">
      <c r="A70" s="21"/>
      <c r="B70" s="20"/>
      <c r="C70" s="20"/>
      <c r="D70" s="19"/>
      <c r="E70" s="22"/>
      <c r="F70" s="4"/>
      <c r="G70" s="11">
        <f t="shared" si="4"/>
        <v>0</v>
      </c>
      <c r="H70" s="23">
        <f t="shared" si="5"/>
        <v>0</v>
      </c>
      <c r="I70" s="20"/>
    </row>
    <row r="71" spans="1:9" x14ac:dyDescent="0.25">
      <c r="A71" s="21"/>
      <c r="B71" s="20"/>
      <c r="C71" s="20"/>
      <c r="D71" s="19"/>
      <c r="E71" s="22"/>
      <c r="F71" s="4"/>
      <c r="G71" s="11">
        <f t="shared" si="4"/>
        <v>0</v>
      </c>
      <c r="H71" s="23">
        <f t="shared" si="5"/>
        <v>0</v>
      </c>
      <c r="I71" s="20"/>
    </row>
    <row r="72" spans="1:9" x14ac:dyDescent="0.25">
      <c r="A72" s="21"/>
      <c r="B72" s="20"/>
      <c r="C72" s="20"/>
      <c r="D72" s="19"/>
      <c r="E72" s="22"/>
      <c r="F72" s="4"/>
      <c r="G72" s="11">
        <f t="shared" si="4"/>
        <v>0</v>
      </c>
      <c r="H72" s="23">
        <f t="shared" si="5"/>
        <v>0</v>
      </c>
      <c r="I72" s="20"/>
    </row>
    <row r="73" spans="1:9" x14ac:dyDescent="0.25">
      <c r="A73" s="21"/>
      <c r="B73" s="20"/>
      <c r="C73" s="20"/>
      <c r="D73" s="19"/>
      <c r="E73" s="22"/>
      <c r="F73" s="4"/>
      <c r="G73" s="11">
        <f t="shared" si="4"/>
        <v>0</v>
      </c>
      <c r="H73" s="23">
        <f t="shared" si="5"/>
        <v>0</v>
      </c>
      <c r="I73" s="20"/>
    </row>
    <row r="74" spans="1:9" x14ac:dyDescent="0.25">
      <c r="A74" s="21"/>
      <c r="B74" s="20"/>
      <c r="C74" s="20"/>
      <c r="D74" s="19"/>
      <c r="E74" s="22"/>
      <c r="F74" s="4"/>
      <c r="G74" s="11">
        <f t="shared" si="4"/>
        <v>0</v>
      </c>
      <c r="H74" s="23">
        <f t="shared" si="5"/>
        <v>0</v>
      </c>
      <c r="I74" s="20"/>
    </row>
    <row r="75" spans="1:9" x14ac:dyDescent="0.25">
      <c r="A75" s="21"/>
      <c r="B75" s="20"/>
      <c r="C75" s="20"/>
      <c r="D75" s="19"/>
      <c r="E75" s="22"/>
      <c r="F75" s="4"/>
      <c r="G75" s="11">
        <f t="shared" si="4"/>
        <v>0</v>
      </c>
      <c r="H75" s="23">
        <f t="shared" si="5"/>
        <v>0</v>
      </c>
      <c r="I75" s="20"/>
    </row>
    <row r="76" spans="1:9" x14ac:dyDescent="0.25">
      <c r="A76" s="21"/>
      <c r="B76" s="20"/>
      <c r="C76" s="20"/>
      <c r="D76" s="19"/>
      <c r="E76" s="22"/>
      <c r="F76" s="4"/>
      <c r="G76" s="11">
        <f t="shared" si="4"/>
        <v>0</v>
      </c>
      <c r="H76" s="23">
        <f t="shared" si="5"/>
        <v>0</v>
      </c>
      <c r="I76" s="20"/>
    </row>
    <row r="77" spans="1:9" x14ac:dyDescent="0.25">
      <c r="A77" s="21"/>
      <c r="B77" s="20"/>
      <c r="C77" s="20"/>
      <c r="D77" s="19"/>
      <c r="E77" s="22"/>
      <c r="F77" s="4"/>
      <c r="G77" s="11">
        <f t="shared" si="4"/>
        <v>0</v>
      </c>
      <c r="H77" s="23">
        <f t="shared" si="5"/>
        <v>0</v>
      </c>
      <c r="I77" s="20"/>
    </row>
    <row r="78" spans="1:9" x14ac:dyDescent="0.25">
      <c r="A78" s="21"/>
      <c r="B78" s="20"/>
      <c r="C78" s="20"/>
      <c r="D78" s="19"/>
      <c r="E78" s="22"/>
      <c r="F78" s="4"/>
      <c r="G78" s="11">
        <f t="shared" si="4"/>
        <v>0</v>
      </c>
      <c r="H78" s="23">
        <f t="shared" si="5"/>
        <v>0</v>
      </c>
      <c r="I78" s="20"/>
    </row>
    <row r="79" spans="1:9" x14ac:dyDescent="0.25">
      <c r="A79" s="21"/>
      <c r="B79" s="20"/>
      <c r="C79" s="20"/>
      <c r="D79" s="19"/>
      <c r="E79" s="22"/>
      <c r="F79" s="4"/>
      <c r="G79" s="11">
        <f t="shared" si="4"/>
        <v>0</v>
      </c>
      <c r="H79" s="23">
        <f t="shared" si="5"/>
        <v>0</v>
      </c>
      <c r="I79" s="20"/>
    </row>
    <row r="80" spans="1:9" x14ac:dyDescent="0.25">
      <c r="A80" s="21"/>
      <c r="B80" s="20"/>
      <c r="C80" s="20"/>
      <c r="D80" s="19"/>
      <c r="E80" s="22"/>
      <c r="F80" s="4"/>
      <c r="G80" s="11">
        <f t="shared" si="4"/>
        <v>0</v>
      </c>
      <c r="H80" s="23">
        <f t="shared" si="5"/>
        <v>0</v>
      </c>
      <c r="I80" s="20"/>
    </row>
    <row r="81" spans="1:9" x14ac:dyDescent="0.25">
      <c r="A81" s="21"/>
      <c r="B81" s="20"/>
      <c r="C81" s="20"/>
      <c r="D81" s="19"/>
      <c r="E81" s="22"/>
      <c r="F81" s="4"/>
      <c r="G81" s="11">
        <f t="shared" si="4"/>
        <v>0</v>
      </c>
      <c r="H81" s="23">
        <f t="shared" si="5"/>
        <v>0</v>
      </c>
      <c r="I81" s="20"/>
    </row>
    <row r="82" spans="1:9" x14ac:dyDescent="0.25">
      <c r="A82" s="21"/>
      <c r="B82" s="20"/>
      <c r="C82" s="20"/>
      <c r="D82" s="19"/>
      <c r="E82" s="22"/>
      <c r="F82" s="4"/>
      <c r="G82" s="11">
        <f t="shared" si="4"/>
        <v>0</v>
      </c>
      <c r="H82" s="23">
        <f t="shared" si="5"/>
        <v>0</v>
      </c>
      <c r="I82" s="20"/>
    </row>
    <row r="83" spans="1:9" x14ac:dyDescent="0.25">
      <c r="A83" s="21"/>
      <c r="B83" s="20"/>
      <c r="C83" s="20"/>
      <c r="D83" s="19"/>
      <c r="E83" s="22"/>
      <c r="F83" s="4"/>
      <c r="G83" s="11">
        <f t="shared" si="4"/>
        <v>0</v>
      </c>
      <c r="H83" s="23">
        <f t="shared" si="5"/>
        <v>0</v>
      </c>
      <c r="I83" s="20"/>
    </row>
    <row r="84" spans="1:9" x14ac:dyDescent="0.25">
      <c r="A84" s="21"/>
      <c r="B84" s="20"/>
      <c r="C84" s="20"/>
      <c r="D84" s="19"/>
      <c r="E84" s="22"/>
      <c r="F84" s="4"/>
      <c r="G84" s="11">
        <f t="shared" si="4"/>
        <v>0</v>
      </c>
      <c r="H84" s="23">
        <f t="shared" si="5"/>
        <v>0</v>
      </c>
      <c r="I84" s="20"/>
    </row>
    <row r="85" spans="1:9" x14ac:dyDescent="0.25">
      <c r="A85" s="21"/>
      <c r="B85" s="20"/>
      <c r="C85" s="20"/>
      <c r="D85" s="19"/>
      <c r="E85" s="22"/>
      <c r="F85" s="4"/>
      <c r="G85" s="11">
        <f t="shared" si="4"/>
        <v>0</v>
      </c>
      <c r="H85" s="23">
        <f t="shared" si="5"/>
        <v>0</v>
      </c>
      <c r="I85" s="20"/>
    </row>
    <row r="86" spans="1:9" x14ac:dyDescent="0.25">
      <c r="A86" s="21"/>
      <c r="B86" s="20"/>
      <c r="C86" s="20"/>
      <c r="D86" s="19"/>
      <c r="E86" s="22"/>
      <c r="F86" s="4"/>
      <c r="G86" s="11">
        <f t="shared" si="4"/>
        <v>0</v>
      </c>
      <c r="H86" s="23">
        <f t="shared" si="5"/>
        <v>0</v>
      </c>
      <c r="I86" s="20"/>
    </row>
    <row r="87" spans="1:9" x14ac:dyDescent="0.25">
      <c r="A87" s="21"/>
      <c r="B87" s="20"/>
      <c r="C87" s="20"/>
      <c r="D87" s="19"/>
      <c r="E87" s="22"/>
      <c r="F87" s="4"/>
      <c r="G87" s="11">
        <f t="shared" si="4"/>
        <v>0</v>
      </c>
      <c r="H87" s="23">
        <f t="shared" si="5"/>
        <v>0</v>
      </c>
      <c r="I87" s="20"/>
    </row>
    <row r="88" spans="1:9" x14ac:dyDescent="0.25">
      <c r="A88" s="21"/>
      <c r="B88" s="20"/>
      <c r="C88" s="20"/>
      <c r="D88" s="19"/>
      <c r="E88" s="22"/>
      <c r="F88" s="4"/>
      <c r="G88" s="11">
        <f t="shared" si="4"/>
        <v>0</v>
      </c>
      <c r="H88" s="23">
        <f t="shared" si="5"/>
        <v>0</v>
      </c>
      <c r="I88" s="20"/>
    </row>
    <row r="89" spans="1:9" x14ac:dyDescent="0.25">
      <c r="A89" s="21"/>
      <c r="B89" s="20"/>
      <c r="C89" s="20"/>
      <c r="D89" s="19"/>
      <c r="E89" s="22"/>
      <c r="F89" s="4"/>
      <c r="G89" s="11">
        <f t="shared" si="4"/>
        <v>0</v>
      </c>
      <c r="H89" s="23">
        <f t="shared" si="5"/>
        <v>0</v>
      </c>
      <c r="I89" s="20"/>
    </row>
    <row r="90" spans="1:9" x14ac:dyDescent="0.25">
      <c r="A90" s="21"/>
      <c r="B90" s="20"/>
      <c r="C90" s="20"/>
      <c r="D90" s="19"/>
      <c r="E90" s="22"/>
      <c r="F90" s="4"/>
      <c r="G90" s="11">
        <f t="shared" si="4"/>
        <v>0</v>
      </c>
      <c r="H90" s="23">
        <f t="shared" si="5"/>
        <v>0</v>
      </c>
      <c r="I90" s="20"/>
    </row>
    <row r="91" spans="1:9" x14ac:dyDescent="0.25">
      <c r="A91" s="21"/>
      <c r="B91" s="20"/>
      <c r="C91" s="20"/>
      <c r="D91" s="19"/>
      <c r="E91" s="22"/>
      <c r="F91" s="4"/>
      <c r="G91" s="11">
        <f t="shared" si="4"/>
        <v>0</v>
      </c>
      <c r="H91" s="23">
        <f t="shared" si="5"/>
        <v>0</v>
      </c>
      <c r="I91" s="20"/>
    </row>
    <row r="92" spans="1:9" x14ac:dyDescent="0.25">
      <c r="A92" s="21"/>
      <c r="B92" s="20"/>
      <c r="C92" s="20"/>
      <c r="D92" s="19"/>
      <c r="E92" s="22"/>
      <c r="F92" s="4"/>
      <c r="G92" s="11">
        <f t="shared" si="4"/>
        <v>0</v>
      </c>
      <c r="H92" s="23">
        <f t="shared" si="5"/>
        <v>0</v>
      </c>
      <c r="I92" s="20"/>
    </row>
    <row r="93" spans="1:9" x14ac:dyDescent="0.25">
      <c r="A93" s="21"/>
      <c r="B93" s="20"/>
      <c r="C93" s="20"/>
      <c r="D93" s="19"/>
      <c r="E93" s="22"/>
      <c r="F93" s="4"/>
      <c r="G93" s="11">
        <f t="shared" si="4"/>
        <v>0</v>
      </c>
      <c r="H93" s="23">
        <f t="shared" si="5"/>
        <v>0</v>
      </c>
      <c r="I93" s="20"/>
    </row>
    <row r="94" spans="1:9" x14ac:dyDescent="0.25">
      <c r="A94" s="21"/>
      <c r="B94" s="20"/>
      <c r="C94" s="20"/>
      <c r="D94" s="19"/>
      <c r="E94" s="22"/>
      <c r="F94" s="4"/>
      <c r="G94" s="11">
        <f t="shared" si="4"/>
        <v>0</v>
      </c>
      <c r="H94" s="23">
        <f t="shared" si="5"/>
        <v>0</v>
      </c>
      <c r="I94" s="20"/>
    </row>
    <row r="95" spans="1:9" x14ac:dyDescent="0.25">
      <c r="A95" s="21"/>
      <c r="B95" s="20"/>
      <c r="C95" s="20"/>
      <c r="D95" s="19"/>
      <c r="E95" s="22"/>
      <c r="F95" s="4"/>
      <c r="G95" s="11">
        <f t="shared" si="4"/>
        <v>0</v>
      </c>
      <c r="H95" s="23">
        <f t="shared" si="5"/>
        <v>0</v>
      </c>
      <c r="I95" s="20"/>
    </row>
    <row r="96" spans="1:9" x14ac:dyDescent="0.25">
      <c r="A96" s="21"/>
      <c r="B96" s="20"/>
      <c r="C96" s="20"/>
      <c r="D96" s="19"/>
      <c r="E96" s="22"/>
      <c r="F96" s="4"/>
      <c r="G96" s="11">
        <f t="shared" si="4"/>
        <v>0</v>
      </c>
      <c r="H96" s="23">
        <f t="shared" si="5"/>
        <v>0</v>
      </c>
      <c r="I96" s="20"/>
    </row>
    <row r="97" spans="1:9" x14ac:dyDescent="0.25">
      <c r="A97" s="21"/>
      <c r="B97" s="20"/>
      <c r="C97" s="20"/>
      <c r="D97" s="19"/>
      <c r="E97" s="22"/>
      <c r="F97" s="4"/>
      <c r="G97" s="11">
        <f t="shared" si="4"/>
        <v>0</v>
      </c>
      <c r="H97" s="23">
        <f t="shared" si="5"/>
        <v>0</v>
      </c>
      <c r="I97" s="20"/>
    </row>
    <row r="98" spans="1:9" x14ac:dyDescent="0.25">
      <c r="A98" s="21"/>
      <c r="B98" s="20"/>
      <c r="C98" s="20"/>
      <c r="D98" s="19"/>
      <c r="E98" s="22"/>
      <c r="F98" s="4"/>
      <c r="G98" s="11">
        <f t="shared" si="4"/>
        <v>0</v>
      </c>
      <c r="H98" s="23">
        <f t="shared" si="5"/>
        <v>0</v>
      </c>
      <c r="I98" s="20"/>
    </row>
    <row r="99" spans="1:9" x14ac:dyDescent="0.25">
      <c r="A99" s="21"/>
      <c r="B99" s="20"/>
      <c r="C99" s="20"/>
      <c r="D99" s="19"/>
      <c r="E99" s="22"/>
      <c r="F99" s="4"/>
      <c r="G99" s="11">
        <f t="shared" si="4"/>
        <v>0</v>
      </c>
      <c r="H99" s="23">
        <f t="shared" si="5"/>
        <v>0</v>
      </c>
      <c r="I99" s="20"/>
    </row>
    <row r="100" spans="1:9" x14ac:dyDescent="0.25">
      <c r="A100" s="21"/>
      <c r="B100" s="20"/>
      <c r="C100" s="20"/>
      <c r="D100" s="19"/>
      <c r="E100" s="22"/>
      <c r="F100" s="4"/>
      <c r="G100" s="11">
        <f t="shared" si="4"/>
        <v>0</v>
      </c>
      <c r="H100" s="23">
        <f t="shared" si="5"/>
        <v>0</v>
      </c>
      <c r="I100" s="20"/>
    </row>
    <row r="101" spans="1:9" x14ac:dyDescent="0.25">
      <c r="A101" s="21"/>
      <c r="B101" s="20"/>
      <c r="C101" s="20"/>
      <c r="D101" s="19"/>
      <c r="E101" s="22"/>
      <c r="F101" s="4"/>
      <c r="G101" s="11">
        <f t="shared" ref="G101:G132" si="6">IF(OR(D101="",E101="",N(E101)=0),0,D101/E101)</f>
        <v>0</v>
      </c>
      <c r="H101" s="23">
        <f t="shared" ref="H101:H132" si="7">IF(OR(F101="",E101=""),0,EDATE(F101,E101-1))</f>
        <v>0</v>
      </c>
      <c r="I101" s="20"/>
    </row>
    <row r="102" spans="1:9" x14ac:dyDescent="0.25">
      <c r="A102" s="21"/>
      <c r="B102" s="20"/>
      <c r="C102" s="20"/>
      <c r="D102" s="19"/>
      <c r="E102" s="22"/>
      <c r="F102" s="4"/>
      <c r="G102" s="11">
        <f t="shared" si="6"/>
        <v>0</v>
      </c>
      <c r="H102" s="23">
        <f t="shared" si="7"/>
        <v>0</v>
      </c>
      <c r="I102" s="20"/>
    </row>
    <row r="103" spans="1:9" x14ac:dyDescent="0.25">
      <c r="A103" s="21"/>
      <c r="B103" s="20"/>
      <c r="C103" s="20"/>
      <c r="D103" s="19"/>
      <c r="E103" s="22"/>
      <c r="F103" s="4"/>
      <c r="G103" s="11">
        <f t="shared" si="6"/>
        <v>0</v>
      </c>
      <c r="H103" s="23">
        <f t="shared" si="7"/>
        <v>0</v>
      </c>
      <c r="I103" s="20"/>
    </row>
    <row r="104" spans="1:9" x14ac:dyDescent="0.25">
      <c r="A104" s="21"/>
      <c r="B104" s="20"/>
      <c r="C104" s="20"/>
      <c r="D104" s="19"/>
      <c r="E104" s="22"/>
      <c r="F104" s="4"/>
      <c r="G104" s="11">
        <f t="shared" si="6"/>
        <v>0</v>
      </c>
      <c r="H104" s="23">
        <f t="shared" si="7"/>
        <v>0</v>
      </c>
      <c r="I104" s="20"/>
    </row>
    <row r="105" spans="1:9" x14ac:dyDescent="0.25">
      <c r="A105" s="21"/>
      <c r="B105" s="20"/>
      <c r="C105" s="20"/>
      <c r="D105" s="19"/>
      <c r="E105" s="22"/>
      <c r="F105" s="4"/>
      <c r="G105" s="11">
        <f t="shared" si="6"/>
        <v>0</v>
      </c>
      <c r="H105" s="23">
        <f t="shared" si="7"/>
        <v>0</v>
      </c>
      <c r="I105" s="20"/>
    </row>
    <row r="106" spans="1:9" x14ac:dyDescent="0.25">
      <c r="A106" s="21"/>
      <c r="B106" s="20"/>
      <c r="C106" s="20"/>
      <c r="D106" s="19"/>
      <c r="E106" s="22"/>
      <c r="F106" s="4"/>
      <c r="G106" s="11">
        <f t="shared" si="6"/>
        <v>0</v>
      </c>
      <c r="H106" s="23">
        <f t="shared" si="7"/>
        <v>0</v>
      </c>
      <c r="I106" s="20"/>
    </row>
    <row r="107" spans="1:9" x14ac:dyDescent="0.25">
      <c r="A107" s="21"/>
      <c r="B107" s="20"/>
      <c r="C107" s="20"/>
      <c r="D107" s="19"/>
      <c r="E107" s="22"/>
      <c r="F107" s="4"/>
      <c r="G107" s="11">
        <f t="shared" si="6"/>
        <v>0</v>
      </c>
      <c r="H107" s="23">
        <f t="shared" si="7"/>
        <v>0</v>
      </c>
      <c r="I107" s="20"/>
    </row>
    <row r="108" spans="1:9" x14ac:dyDescent="0.25">
      <c r="A108" s="21"/>
      <c r="B108" s="20"/>
      <c r="C108" s="20"/>
      <c r="D108" s="19"/>
      <c r="E108" s="22"/>
      <c r="F108" s="4"/>
      <c r="G108" s="11">
        <f t="shared" si="6"/>
        <v>0</v>
      </c>
      <c r="H108" s="23">
        <f t="shared" si="7"/>
        <v>0</v>
      </c>
      <c r="I108" s="20"/>
    </row>
    <row r="109" spans="1:9" x14ac:dyDescent="0.25">
      <c r="A109" s="21"/>
      <c r="B109" s="20"/>
      <c r="C109" s="20"/>
      <c r="D109" s="19"/>
      <c r="E109" s="22"/>
      <c r="F109" s="4"/>
      <c r="G109" s="11">
        <f t="shared" si="6"/>
        <v>0</v>
      </c>
      <c r="H109" s="23">
        <f t="shared" si="7"/>
        <v>0</v>
      </c>
      <c r="I109" s="20"/>
    </row>
    <row r="110" spans="1:9" x14ac:dyDescent="0.25">
      <c r="A110" s="21"/>
      <c r="B110" s="20"/>
      <c r="C110" s="20"/>
      <c r="D110" s="19"/>
      <c r="E110" s="22"/>
      <c r="F110" s="4"/>
      <c r="G110" s="11">
        <f t="shared" si="6"/>
        <v>0</v>
      </c>
      <c r="H110" s="23">
        <f t="shared" si="7"/>
        <v>0</v>
      </c>
      <c r="I110" s="20"/>
    </row>
    <row r="111" spans="1:9" x14ac:dyDescent="0.25">
      <c r="A111" s="21"/>
      <c r="B111" s="20"/>
      <c r="C111" s="20"/>
      <c r="D111" s="19"/>
      <c r="E111" s="22"/>
      <c r="F111" s="4"/>
      <c r="G111" s="11">
        <f t="shared" si="6"/>
        <v>0</v>
      </c>
      <c r="H111" s="23">
        <f t="shared" si="7"/>
        <v>0</v>
      </c>
      <c r="I111" s="20"/>
    </row>
    <row r="112" spans="1:9" x14ac:dyDescent="0.25">
      <c r="A112" s="21"/>
      <c r="B112" s="20"/>
      <c r="C112" s="20"/>
      <c r="D112" s="19"/>
      <c r="E112" s="22"/>
      <c r="F112" s="4"/>
      <c r="G112" s="11">
        <f t="shared" si="6"/>
        <v>0</v>
      </c>
      <c r="H112" s="23">
        <f t="shared" si="7"/>
        <v>0</v>
      </c>
      <c r="I112" s="20"/>
    </row>
    <row r="113" spans="1:9" x14ac:dyDescent="0.25">
      <c r="A113" s="21"/>
      <c r="B113" s="20"/>
      <c r="C113" s="20"/>
      <c r="D113" s="19"/>
      <c r="E113" s="22"/>
      <c r="F113" s="4"/>
      <c r="G113" s="11">
        <f t="shared" si="6"/>
        <v>0</v>
      </c>
      <c r="H113" s="23">
        <f t="shared" si="7"/>
        <v>0</v>
      </c>
      <c r="I113" s="20"/>
    </row>
    <row r="114" spans="1:9" x14ac:dyDescent="0.25">
      <c r="A114" s="21"/>
      <c r="B114" s="20"/>
      <c r="C114" s="20"/>
      <c r="D114" s="19"/>
      <c r="E114" s="22"/>
      <c r="F114" s="4"/>
      <c r="G114" s="11">
        <f t="shared" si="6"/>
        <v>0</v>
      </c>
      <c r="H114" s="23">
        <f t="shared" si="7"/>
        <v>0</v>
      </c>
      <c r="I114" s="20"/>
    </row>
    <row r="115" spans="1:9" x14ac:dyDescent="0.25">
      <c r="A115" s="21"/>
      <c r="B115" s="20"/>
      <c r="C115" s="20"/>
      <c r="D115" s="19"/>
      <c r="E115" s="22"/>
      <c r="F115" s="4"/>
      <c r="G115" s="11">
        <f t="shared" si="6"/>
        <v>0</v>
      </c>
      <c r="H115" s="23">
        <f t="shared" si="7"/>
        <v>0</v>
      </c>
      <c r="I115" s="20"/>
    </row>
    <row r="116" spans="1:9" x14ac:dyDescent="0.25">
      <c r="A116" s="21"/>
      <c r="B116" s="20"/>
      <c r="C116" s="20"/>
      <c r="D116" s="19"/>
      <c r="E116" s="22"/>
      <c r="F116" s="4"/>
      <c r="G116" s="11">
        <f t="shared" si="6"/>
        <v>0</v>
      </c>
      <c r="H116" s="23">
        <f t="shared" si="7"/>
        <v>0</v>
      </c>
      <c r="I116" s="20"/>
    </row>
    <row r="117" spans="1:9" x14ac:dyDescent="0.25">
      <c r="A117" s="21"/>
      <c r="B117" s="20"/>
      <c r="C117" s="20"/>
      <c r="D117" s="19"/>
      <c r="E117" s="22"/>
      <c r="F117" s="4"/>
      <c r="G117" s="11">
        <f t="shared" si="6"/>
        <v>0</v>
      </c>
      <c r="H117" s="23">
        <f t="shared" si="7"/>
        <v>0</v>
      </c>
      <c r="I117" s="20"/>
    </row>
    <row r="118" spans="1:9" x14ac:dyDescent="0.25">
      <c r="A118" s="21"/>
      <c r="B118" s="20"/>
      <c r="C118" s="20"/>
      <c r="D118" s="19"/>
      <c r="E118" s="22"/>
      <c r="F118" s="4"/>
      <c r="G118" s="11">
        <f t="shared" si="6"/>
        <v>0</v>
      </c>
      <c r="H118" s="23">
        <f t="shared" si="7"/>
        <v>0</v>
      </c>
      <c r="I118" s="20"/>
    </row>
    <row r="119" spans="1:9" x14ac:dyDescent="0.25">
      <c r="A119" s="21"/>
      <c r="B119" s="20"/>
      <c r="C119" s="20"/>
      <c r="D119" s="19"/>
      <c r="E119" s="22"/>
      <c r="F119" s="4"/>
      <c r="G119" s="11">
        <f t="shared" si="6"/>
        <v>0</v>
      </c>
      <c r="H119" s="23">
        <f t="shared" si="7"/>
        <v>0</v>
      </c>
      <c r="I119" s="20"/>
    </row>
    <row r="120" spans="1:9" x14ac:dyDescent="0.25">
      <c r="A120" s="21"/>
      <c r="B120" s="20"/>
      <c r="C120" s="20"/>
      <c r="D120" s="19"/>
      <c r="E120" s="22"/>
      <c r="F120" s="4"/>
      <c r="G120" s="11">
        <f t="shared" si="6"/>
        <v>0</v>
      </c>
      <c r="H120" s="23">
        <f t="shared" si="7"/>
        <v>0</v>
      </c>
      <c r="I120" s="20"/>
    </row>
    <row r="121" spans="1:9" x14ac:dyDescent="0.25">
      <c r="A121" s="21"/>
      <c r="B121" s="20"/>
      <c r="C121" s="20"/>
      <c r="D121" s="19"/>
      <c r="E121" s="22"/>
      <c r="F121" s="4"/>
      <c r="G121" s="11">
        <f t="shared" si="6"/>
        <v>0</v>
      </c>
      <c r="H121" s="23">
        <f t="shared" si="7"/>
        <v>0</v>
      </c>
      <c r="I121" s="20"/>
    </row>
    <row r="122" spans="1:9" x14ac:dyDescent="0.25">
      <c r="A122" s="21"/>
      <c r="B122" s="20"/>
      <c r="C122" s="20"/>
      <c r="D122" s="19"/>
      <c r="E122" s="22"/>
      <c r="F122" s="4"/>
      <c r="G122" s="11">
        <f t="shared" si="6"/>
        <v>0</v>
      </c>
      <c r="H122" s="23">
        <f t="shared" si="7"/>
        <v>0</v>
      </c>
      <c r="I122" s="20"/>
    </row>
    <row r="123" spans="1:9" x14ac:dyDescent="0.25">
      <c r="A123" s="21"/>
      <c r="B123" s="20"/>
      <c r="C123" s="20"/>
      <c r="D123" s="19"/>
      <c r="E123" s="22"/>
      <c r="F123" s="4"/>
      <c r="G123" s="11">
        <f t="shared" si="6"/>
        <v>0</v>
      </c>
      <c r="H123" s="23">
        <f t="shared" si="7"/>
        <v>0</v>
      </c>
      <c r="I123" s="20"/>
    </row>
    <row r="124" spans="1:9" x14ac:dyDescent="0.25">
      <c r="A124" s="21"/>
      <c r="B124" s="20"/>
      <c r="C124" s="20"/>
      <c r="D124" s="19"/>
      <c r="E124" s="22"/>
      <c r="F124" s="4"/>
      <c r="G124" s="11">
        <f t="shared" si="6"/>
        <v>0</v>
      </c>
      <c r="H124" s="23">
        <f t="shared" si="7"/>
        <v>0</v>
      </c>
      <c r="I124" s="20"/>
    </row>
    <row r="125" spans="1:9" x14ac:dyDescent="0.25">
      <c r="A125" s="21"/>
      <c r="B125" s="20"/>
      <c r="C125" s="20"/>
      <c r="D125" s="19"/>
      <c r="E125" s="22"/>
      <c r="F125" s="4"/>
      <c r="G125" s="11">
        <f t="shared" si="6"/>
        <v>0</v>
      </c>
      <c r="H125" s="23">
        <f t="shared" si="7"/>
        <v>0</v>
      </c>
      <c r="I125" s="20"/>
    </row>
    <row r="126" spans="1:9" x14ac:dyDescent="0.25">
      <c r="A126" s="21"/>
      <c r="B126" s="20"/>
      <c r="C126" s="20"/>
      <c r="D126" s="19"/>
      <c r="E126" s="22"/>
      <c r="F126" s="4"/>
      <c r="G126" s="11">
        <f t="shared" si="6"/>
        <v>0</v>
      </c>
      <c r="H126" s="23">
        <f t="shared" si="7"/>
        <v>0</v>
      </c>
      <c r="I126" s="20"/>
    </row>
    <row r="127" spans="1:9" x14ac:dyDescent="0.25">
      <c r="A127" s="21"/>
      <c r="B127" s="20"/>
      <c r="C127" s="20"/>
      <c r="D127" s="19"/>
      <c r="E127" s="22"/>
      <c r="F127" s="4"/>
      <c r="G127" s="11">
        <f t="shared" si="6"/>
        <v>0</v>
      </c>
      <c r="H127" s="23">
        <f t="shared" si="7"/>
        <v>0</v>
      </c>
      <c r="I127" s="20"/>
    </row>
    <row r="128" spans="1:9" x14ac:dyDescent="0.25">
      <c r="A128" s="21"/>
      <c r="B128" s="20"/>
      <c r="C128" s="20"/>
      <c r="D128" s="19"/>
      <c r="E128" s="22"/>
      <c r="F128" s="4"/>
      <c r="G128" s="11">
        <f t="shared" si="6"/>
        <v>0</v>
      </c>
      <c r="H128" s="23">
        <f t="shared" si="7"/>
        <v>0</v>
      </c>
      <c r="I128" s="20"/>
    </row>
    <row r="129" spans="1:9" x14ac:dyDescent="0.25">
      <c r="A129" s="21"/>
      <c r="B129" s="20"/>
      <c r="C129" s="20"/>
      <c r="D129" s="19"/>
      <c r="E129" s="22"/>
      <c r="F129" s="4"/>
      <c r="G129" s="11">
        <f t="shared" si="6"/>
        <v>0</v>
      </c>
      <c r="H129" s="23">
        <f t="shared" si="7"/>
        <v>0</v>
      </c>
      <c r="I129" s="20"/>
    </row>
    <row r="130" spans="1:9" x14ac:dyDescent="0.25">
      <c r="A130" s="21"/>
      <c r="B130" s="20"/>
      <c r="C130" s="20"/>
      <c r="D130" s="19"/>
      <c r="E130" s="22"/>
      <c r="F130" s="4"/>
      <c r="G130" s="11">
        <f t="shared" si="6"/>
        <v>0</v>
      </c>
      <c r="H130" s="23">
        <f t="shared" si="7"/>
        <v>0</v>
      </c>
      <c r="I130" s="20"/>
    </row>
    <row r="131" spans="1:9" x14ac:dyDescent="0.25">
      <c r="A131" s="21"/>
      <c r="B131" s="20"/>
      <c r="C131" s="20"/>
      <c r="D131" s="19"/>
      <c r="E131" s="22"/>
      <c r="F131" s="4"/>
      <c r="G131" s="11">
        <f t="shared" si="6"/>
        <v>0</v>
      </c>
      <c r="H131" s="23">
        <f t="shared" si="7"/>
        <v>0</v>
      </c>
      <c r="I131" s="20"/>
    </row>
    <row r="132" spans="1:9" x14ac:dyDescent="0.25">
      <c r="A132" s="21"/>
      <c r="B132" s="20"/>
      <c r="C132" s="20"/>
      <c r="D132" s="19"/>
      <c r="E132" s="22"/>
      <c r="F132" s="4"/>
      <c r="G132" s="11">
        <f t="shared" si="6"/>
        <v>0</v>
      </c>
      <c r="H132" s="23">
        <f t="shared" si="7"/>
        <v>0</v>
      </c>
      <c r="I132" s="20"/>
    </row>
    <row r="133" spans="1:9" x14ac:dyDescent="0.25">
      <c r="A133" s="21"/>
      <c r="B133" s="20"/>
      <c r="C133" s="20"/>
      <c r="D133" s="19"/>
      <c r="E133" s="22"/>
      <c r="F133" s="4"/>
      <c r="G133" s="11">
        <f t="shared" ref="G133:G164" si="8">IF(OR(D133="",E133="",N(E133)=0),0,D133/E133)</f>
        <v>0</v>
      </c>
      <c r="H133" s="23">
        <f t="shared" ref="H133:H164" si="9">IF(OR(F133="",E133=""),0,EDATE(F133,E133-1))</f>
        <v>0</v>
      </c>
      <c r="I133" s="20"/>
    </row>
    <row r="134" spans="1:9" x14ac:dyDescent="0.25">
      <c r="A134" s="21"/>
      <c r="B134" s="20"/>
      <c r="C134" s="20"/>
      <c r="D134" s="19"/>
      <c r="E134" s="22"/>
      <c r="F134" s="4"/>
      <c r="G134" s="11">
        <f t="shared" si="8"/>
        <v>0</v>
      </c>
      <c r="H134" s="23">
        <f t="shared" si="9"/>
        <v>0</v>
      </c>
      <c r="I134" s="20"/>
    </row>
    <row r="135" spans="1:9" x14ac:dyDescent="0.25">
      <c r="A135" s="21"/>
      <c r="B135" s="20"/>
      <c r="C135" s="20"/>
      <c r="D135" s="19"/>
      <c r="E135" s="22"/>
      <c r="F135" s="4"/>
      <c r="G135" s="11">
        <f t="shared" si="8"/>
        <v>0</v>
      </c>
      <c r="H135" s="23">
        <f t="shared" si="9"/>
        <v>0</v>
      </c>
      <c r="I135" s="20"/>
    </row>
    <row r="136" spans="1:9" x14ac:dyDescent="0.25">
      <c r="A136" s="21"/>
      <c r="B136" s="20"/>
      <c r="C136" s="20"/>
      <c r="D136" s="19"/>
      <c r="E136" s="22"/>
      <c r="F136" s="4"/>
      <c r="G136" s="11">
        <f t="shared" si="8"/>
        <v>0</v>
      </c>
      <c r="H136" s="23">
        <f t="shared" si="9"/>
        <v>0</v>
      </c>
      <c r="I136" s="20"/>
    </row>
    <row r="137" spans="1:9" x14ac:dyDescent="0.25">
      <c r="A137" s="21"/>
      <c r="B137" s="20"/>
      <c r="C137" s="20"/>
      <c r="D137" s="19"/>
      <c r="E137" s="22"/>
      <c r="F137" s="4"/>
      <c r="G137" s="11">
        <f t="shared" si="8"/>
        <v>0</v>
      </c>
      <c r="H137" s="23">
        <f t="shared" si="9"/>
        <v>0</v>
      </c>
      <c r="I137" s="20"/>
    </row>
    <row r="138" spans="1:9" x14ac:dyDescent="0.25">
      <c r="A138" s="21"/>
      <c r="B138" s="20"/>
      <c r="C138" s="20"/>
      <c r="D138" s="19"/>
      <c r="E138" s="22"/>
      <c r="F138" s="4"/>
      <c r="G138" s="11">
        <f t="shared" si="8"/>
        <v>0</v>
      </c>
      <c r="H138" s="23">
        <f t="shared" si="9"/>
        <v>0</v>
      </c>
      <c r="I138" s="20"/>
    </row>
    <row r="139" spans="1:9" x14ac:dyDescent="0.25">
      <c r="A139" s="21"/>
      <c r="B139" s="20"/>
      <c r="C139" s="20"/>
      <c r="D139" s="19"/>
      <c r="E139" s="22"/>
      <c r="F139" s="4"/>
      <c r="G139" s="11">
        <f t="shared" si="8"/>
        <v>0</v>
      </c>
      <c r="H139" s="23">
        <f t="shared" si="9"/>
        <v>0</v>
      </c>
      <c r="I139" s="20"/>
    </row>
    <row r="140" spans="1:9" x14ac:dyDescent="0.25">
      <c r="A140" s="21"/>
      <c r="B140" s="20"/>
      <c r="C140" s="20"/>
      <c r="D140" s="19"/>
      <c r="E140" s="22"/>
      <c r="F140" s="4"/>
      <c r="G140" s="11">
        <f t="shared" si="8"/>
        <v>0</v>
      </c>
      <c r="H140" s="23">
        <f t="shared" si="9"/>
        <v>0</v>
      </c>
      <c r="I140" s="20"/>
    </row>
    <row r="141" spans="1:9" x14ac:dyDescent="0.25">
      <c r="A141" s="21"/>
      <c r="B141" s="20"/>
      <c r="C141" s="20"/>
      <c r="D141" s="19"/>
      <c r="E141" s="22"/>
      <c r="F141" s="4"/>
      <c r="G141" s="11">
        <f t="shared" si="8"/>
        <v>0</v>
      </c>
      <c r="H141" s="23">
        <f t="shared" si="9"/>
        <v>0</v>
      </c>
      <c r="I141" s="20"/>
    </row>
    <row r="142" spans="1:9" x14ac:dyDescent="0.25">
      <c r="A142" s="21"/>
      <c r="B142" s="20"/>
      <c r="C142" s="20"/>
      <c r="D142" s="19"/>
      <c r="E142" s="22"/>
      <c r="F142" s="4"/>
      <c r="G142" s="11">
        <f t="shared" si="8"/>
        <v>0</v>
      </c>
      <c r="H142" s="23">
        <f t="shared" si="9"/>
        <v>0</v>
      </c>
      <c r="I142" s="20"/>
    </row>
    <row r="143" spans="1:9" x14ac:dyDescent="0.25">
      <c r="A143" s="21"/>
      <c r="B143" s="20"/>
      <c r="C143" s="20"/>
      <c r="D143" s="19"/>
      <c r="E143" s="22"/>
      <c r="F143" s="4"/>
      <c r="G143" s="11">
        <f t="shared" si="8"/>
        <v>0</v>
      </c>
      <c r="H143" s="23">
        <f t="shared" si="9"/>
        <v>0</v>
      </c>
      <c r="I143" s="20"/>
    </row>
    <row r="144" spans="1:9" x14ac:dyDescent="0.25">
      <c r="A144" s="21"/>
      <c r="B144" s="20"/>
      <c r="C144" s="20"/>
      <c r="D144" s="19"/>
      <c r="E144" s="22"/>
      <c r="F144" s="4"/>
      <c r="G144" s="11">
        <f t="shared" si="8"/>
        <v>0</v>
      </c>
      <c r="H144" s="23">
        <f t="shared" si="9"/>
        <v>0</v>
      </c>
      <c r="I144" s="20"/>
    </row>
    <row r="145" spans="1:9" x14ac:dyDescent="0.25">
      <c r="A145" s="21"/>
      <c r="B145" s="20"/>
      <c r="C145" s="20"/>
      <c r="D145" s="19"/>
      <c r="E145" s="22"/>
      <c r="F145" s="4"/>
      <c r="G145" s="11">
        <f t="shared" si="8"/>
        <v>0</v>
      </c>
      <c r="H145" s="23">
        <f t="shared" si="9"/>
        <v>0</v>
      </c>
      <c r="I145" s="20"/>
    </row>
    <row r="146" spans="1:9" x14ac:dyDescent="0.25">
      <c r="A146" s="21"/>
      <c r="B146" s="20"/>
      <c r="C146" s="20"/>
      <c r="D146" s="19"/>
      <c r="E146" s="22"/>
      <c r="F146" s="4"/>
      <c r="G146" s="11">
        <f t="shared" si="8"/>
        <v>0</v>
      </c>
      <c r="H146" s="23">
        <f t="shared" si="9"/>
        <v>0</v>
      </c>
      <c r="I146" s="20"/>
    </row>
    <row r="147" spans="1:9" x14ac:dyDescent="0.25">
      <c r="A147" s="21"/>
      <c r="B147" s="20"/>
      <c r="C147" s="20"/>
      <c r="D147" s="19"/>
      <c r="E147" s="22"/>
      <c r="F147" s="4"/>
      <c r="G147" s="11">
        <f t="shared" si="8"/>
        <v>0</v>
      </c>
      <c r="H147" s="23">
        <f t="shared" si="9"/>
        <v>0</v>
      </c>
      <c r="I147" s="20"/>
    </row>
    <row r="148" spans="1:9" x14ac:dyDescent="0.25">
      <c r="A148" s="21"/>
      <c r="B148" s="20"/>
      <c r="C148" s="20"/>
      <c r="D148" s="19"/>
      <c r="E148" s="22"/>
      <c r="F148" s="4"/>
      <c r="G148" s="11">
        <f t="shared" si="8"/>
        <v>0</v>
      </c>
      <c r="H148" s="23">
        <f t="shared" si="9"/>
        <v>0</v>
      </c>
      <c r="I148" s="20"/>
    </row>
    <row r="149" spans="1:9" x14ac:dyDescent="0.25">
      <c r="A149" s="21"/>
      <c r="B149" s="20"/>
      <c r="C149" s="20"/>
      <c r="D149" s="19"/>
      <c r="E149" s="22"/>
      <c r="F149" s="4"/>
      <c r="G149" s="11">
        <f t="shared" si="8"/>
        <v>0</v>
      </c>
      <c r="H149" s="23">
        <f t="shared" si="9"/>
        <v>0</v>
      </c>
      <c r="I149" s="20"/>
    </row>
    <row r="150" spans="1:9" x14ac:dyDescent="0.25">
      <c r="A150" s="21"/>
      <c r="B150" s="20"/>
      <c r="C150" s="20"/>
      <c r="D150" s="19"/>
      <c r="E150" s="22"/>
      <c r="F150" s="4"/>
      <c r="G150" s="11">
        <f t="shared" si="8"/>
        <v>0</v>
      </c>
      <c r="H150" s="23">
        <f t="shared" si="9"/>
        <v>0</v>
      </c>
      <c r="I150" s="20"/>
    </row>
    <row r="151" spans="1:9" x14ac:dyDescent="0.25">
      <c r="A151" s="21"/>
      <c r="B151" s="20"/>
      <c r="C151" s="20"/>
      <c r="D151" s="19"/>
      <c r="E151" s="22"/>
      <c r="F151" s="4"/>
      <c r="G151" s="11">
        <f t="shared" si="8"/>
        <v>0</v>
      </c>
      <c r="H151" s="23">
        <f t="shared" si="9"/>
        <v>0</v>
      </c>
      <c r="I151" s="20"/>
    </row>
    <row r="152" spans="1:9" x14ac:dyDescent="0.25">
      <c r="A152" s="21"/>
      <c r="B152" s="20"/>
      <c r="C152" s="20"/>
      <c r="D152" s="19"/>
      <c r="E152" s="22"/>
      <c r="F152" s="4"/>
      <c r="G152" s="11">
        <f t="shared" si="8"/>
        <v>0</v>
      </c>
      <c r="H152" s="23">
        <f t="shared" si="9"/>
        <v>0</v>
      </c>
      <c r="I152" s="20"/>
    </row>
    <row r="153" spans="1:9" x14ac:dyDescent="0.25">
      <c r="A153" s="21"/>
      <c r="B153" s="20"/>
      <c r="C153" s="20"/>
      <c r="D153" s="19"/>
      <c r="E153" s="22"/>
      <c r="F153" s="4"/>
      <c r="G153" s="11">
        <f t="shared" si="8"/>
        <v>0</v>
      </c>
      <c r="H153" s="23">
        <f t="shared" si="9"/>
        <v>0</v>
      </c>
      <c r="I153" s="20"/>
    </row>
    <row r="154" spans="1:9" x14ac:dyDescent="0.25">
      <c r="A154" s="21"/>
      <c r="B154" s="20"/>
      <c r="C154" s="20"/>
      <c r="D154" s="19"/>
      <c r="E154" s="22"/>
      <c r="F154" s="4"/>
      <c r="G154" s="11">
        <f t="shared" si="8"/>
        <v>0</v>
      </c>
      <c r="H154" s="23">
        <f t="shared" si="9"/>
        <v>0</v>
      </c>
      <c r="I154" s="20"/>
    </row>
    <row r="155" spans="1:9" x14ac:dyDescent="0.25">
      <c r="A155" s="21"/>
      <c r="B155" s="20"/>
      <c r="C155" s="20"/>
      <c r="D155" s="19"/>
      <c r="E155" s="22"/>
      <c r="F155" s="4"/>
      <c r="G155" s="11">
        <f t="shared" si="8"/>
        <v>0</v>
      </c>
      <c r="H155" s="23">
        <f t="shared" si="9"/>
        <v>0</v>
      </c>
      <c r="I155" s="20"/>
    </row>
    <row r="156" spans="1:9" x14ac:dyDescent="0.25">
      <c r="A156" s="21"/>
      <c r="B156" s="20"/>
      <c r="C156" s="20"/>
      <c r="D156" s="19"/>
      <c r="E156" s="22"/>
      <c r="F156" s="4"/>
      <c r="G156" s="11">
        <f t="shared" si="8"/>
        <v>0</v>
      </c>
      <c r="H156" s="23">
        <f t="shared" si="9"/>
        <v>0</v>
      </c>
      <c r="I156" s="20"/>
    </row>
    <row r="157" spans="1:9" x14ac:dyDescent="0.25">
      <c r="A157" s="21"/>
      <c r="B157" s="20"/>
      <c r="C157" s="20"/>
      <c r="D157" s="19"/>
      <c r="E157" s="22"/>
      <c r="F157" s="4"/>
      <c r="G157" s="11">
        <f t="shared" si="8"/>
        <v>0</v>
      </c>
      <c r="H157" s="23">
        <f t="shared" si="9"/>
        <v>0</v>
      </c>
      <c r="I157" s="20"/>
    </row>
    <row r="158" spans="1:9" x14ac:dyDescent="0.25">
      <c r="A158" s="21"/>
      <c r="B158" s="20"/>
      <c r="C158" s="20"/>
      <c r="D158" s="19"/>
      <c r="E158" s="22"/>
      <c r="F158" s="4"/>
      <c r="G158" s="11">
        <f t="shared" si="8"/>
        <v>0</v>
      </c>
      <c r="H158" s="23">
        <f t="shared" si="9"/>
        <v>0</v>
      </c>
      <c r="I158" s="20"/>
    </row>
    <row r="159" spans="1:9" x14ac:dyDescent="0.25">
      <c r="A159" s="21"/>
      <c r="B159" s="20"/>
      <c r="C159" s="20"/>
      <c r="D159" s="19"/>
      <c r="E159" s="22"/>
      <c r="F159" s="4"/>
      <c r="G159" s="11">
        <f t="shared" si="8"/>
        <v>0</v>
      </c>
      <c r="H159" s="23">
        <f t="shared" si="9"/>
        <v>0</v>
      </c>
      <c r="I159" s="20"/>
    </row>
    <row r="160" spans="1:9" x14ac:dyDescent="0.25">
      <c r="A160" s="21"/>
      <c r="B160" s="20"/>
      <c r="C160" s="20"/>
      <c r="D160" s="19"/>
      <c r="E160" s="22"/>
      <c r="F160" s="4"/>
      <c r="G160" s="11">
        <f t="shared" si="8"/>
        <v>0</v>
      </c>
      <c r="H160" s="23">
        <f t="shared" si="9"/>
        <v>0</v>
      </c>
      <c r="I160" s="20"/>
    </row>
    <row r="161" spans="1:9" x14ac:dyDescent="0.25">
      <c r="A161" s="21"/>
      <c r="B161" s="20"/>
      <c r="C161" s="20"/>
      <c r="D161" s="19"/>
      <c r="E161" s="22"/>
      <c r="F161" s="4"/>
      <c r="G161" s="11">
        <f t="shared" si="8"/>
        <v>0</v>
      </c>
      <c r="H161" s="23">
        <f t="shared" si="9"/>
        <v>0</v>
      </c>
      <c r="I161" s="20"/>
    </row>
    <row r="162" spans="1:9" x14ac:dyDescent="0.25">
      <c r="A162" s="21"/>
      <c r="B162" s="20"/>
      <c r="C162" s="20"/>
      <c r="D162" s="19"/>
      <c r="E162" s="22"/>
      <c r="F162" s="4"/>
      <c r="G162" s="11">
        <f t="shared" si="8"/>
        <v>0</v>
      </c>
      <c r="H162" s="23">
        <f t="shared" si="9"/>
        <v>0</v>
      </c>
      <c r="I162" s="20"/>
    </row>
    <row r="163" spans="1:9" x14ac:dyDescent="0.25">
      <c r="A163" s="21"/>
      <c r="B163" s="20"/>
      <c r="C163" s="20"/>
      <c r="D163" s="19"/>
      <c r="E163" s="22"/>
      <c r="F163" s="4"/>
      <c r="G163" s="11">
        <f t="shared" si="8"/>
        <v>0</v>
      </c>
      <c r="H163" s="23">
        <f t="shared" si="9"/>
        <v>0</v>
      </c>
      <c r="I163" s="20"/>
    </row>
    <row r="164" spans="1:9" x14ac:dyDescent="0.25">
      <c r="A164" s="21"/>
      <c r="B164" s="20"/>
      <c r="C164" s="20"/>
      <c r="D164" s="19"/>
      <c r="E164" s="22"/>
      <c r="F164" s="4"/>
      <c r="G164" s="11">
        <f t="shared" si="8"/>
        <v>0</v>
      </c>
      <c r="H164" s="23">
        <f t="shared" si="9"/>
        <v>0</v>
      </c>
      <c r="I164" s="20"/>
    </row>
    <row r="165" spans="1:9" x14ac:dyDescent="0.25">
      <c r="A165" s="21"/>
      <c r="B165" s="20"/>
      <c r="C165" s="20"/>
      <c r="D165" s="19"/>
      <c r="E165" s="22"/>
      <c r="F165" s="4"/>
      <c r="G165" s="11">
        <f t="shared" ref="G165:G196" si="10">IF(OR(D165="",E165="",N(E165)=0),0,D165/E165)</f>
        <v>0</v>
      </c>
      <c r="H165" s="23">
        <f t="shared" ref="H165:H196" si="11">IF(OR(F165="",E165=""),0,EDATE(F165,E165-1))</f>
        <v>0</v>
      </c>
      <c r="I165" s="20"/>
    </row>
    <row r="166" spans="1:9" x14ac:dyDescent="0.25">
      <c r="A166" s="21"/>
      <c r="B166" s="20"/>
      <c r="C166" s="20"/>
      <c r="D166" s="19"/>
      <c r="E166" s="22"/>
      <c r="F166" s="4"/>
      <c r="G166" s="11">
        <f t="shared" si="10"/>
        <v>0</v>
      </c>
      <c r="H166" s="23">
        <f t="shared" si="11"/>
        <v>0</v>
      </c>
      <c r="I166" s="20"/>
    </row>
    <row r="167" spans="1:9" x14ac:dyDescent="0.25">
      <c r="A167" s="21"/>
      <c r="B167" s="20"/>
      <c r="C167" s="20"/>
      <c r="D167" s="19"/>
      <c r="E167" s="22"/>
      <c r="F167" s="4"/>
      <c r="G167" s="11">
        <f t="shared" si="10"/>
        <v>0</v>
      </c>
      <c r="H167" s="23">
        <f t="shared" si="11"/>
        <v>0</v>
      </c>
      <c r="I167" s="20"/>
    </row>
    <row r="168" spans="1:9" x14ac:dyDescent="0.25">
      <c r="A168" s="21"/>
      <c r="B168" s="20"/>
      <c r="C168" s="20"/>
      <c r="D168" s="19"/>
      <c r="E168" s="22"/>
      <c r="F168" s="4"/>
      <c r="G168" s="11">
        <f t="shared" si="10"/>
        <v>0</v>
      </c>
      <c r="H168" s="23">
        <f t="shared" si="11"/>
        <v>0</v>
      </c>
      <c r="I168" s="20"/>
    </row>
    <row r="169" spans="1:9" x14ac:dyDescent="0.25">
      <c r="A169" s="21"/>
      <c r="B169" s="20"/>
      <c r="C169" s="20"/>
      <c r="D169" s="19"/>
      <c r="E169" s="22"/>
      <c r="F169" s="4"/>
      <c r="G169" s="11">
        <f t="shared" si="10"/>
        <v>0</v>
      </c>
      <c r="H169" s="23">
        <f t="shared" si="11"/>
        <v>0</v>
      </c>
      <c r="I169" s="20"/>
    </row>
    <row r="170" spans="1:9" x14ac:dyDescent="0.25">
      <c r="A170" s="21"/>
      <c r="B170" s="20"/>
      <c r="C170" s="20"/>
      <c r="D170" s="19"/>
      <c r="E170" s="22"/>
      <c r="F170" s="4"/>
      <c r="G170" s="11">
        <f t="shared" si="10"/>
        <v>0</v>
      </c>
      <c r="H170" s="23">
        <f t="shared" si="11"/>
        <v>0</v>
      </c>
      <c r="I170" s="20"/>
    </row>
    <row r="171" spans="1:9" x14ac:dyDescent="0.25">
      <c r="A171" s="21"/>
      <c r="B171" s="20"/>
      <c r="C171" s="20"/>
      <c r="D171" s="19"/>
      <c r="E171" s="22"/>
      <c r="F171" s="4"/>
      <c r="G171" s="11">
        <f t="shared" si="10"/>
        <v>0</v>
      </c>
      <c r="H171" s="23">
        <f t="shared" si="11"/>
        <v>0</v>
      </c>
      <c r="I171" s="20"/>
    </row>
    <row r="172" spans="1:9" x14ac:dyDescent="0.25">
      <c r="A172" s="21"/>
      <c r="B172" s="20"/>
      <c r="C172" s="20"/>
      <c r="D172" s="19"/>
      <c r="E172" s="22"/>
      <c r="F172" s="4"/>
      <c r="G172" s="11">
        <f t="shared" si="10"/>
        <v>0</v>
      </c>
      <c r="H172" s="23">
        <f t="shared" si="11"/>
        <v>0</v>
      </c>
      <c r="I172" s="20"/>
    </row>
    <row r="173" spans="1:9" x14ac:dyDescent="0.25">
      <c r="A173" s="21"/>
      <c r="B173" s="20"/>
      <c r="C173" s="20"/>
      <c r="D173" s="19"/>
      <c r="E173" s="22"/>
      <c r="F173" s="4"/>
      <c r="G173" s="11">
        <f t="shared" si="10"/>
        <v>0</v>
      </c>
      <c r="H173" s="23">
        <f t="shared" si="11"/>
        <v>0</v>
      </c>
      <c r="I173" s="20"/>
    </row>
    <row r="174" spans="1:9" x14ac:dyDescent="0.25">
      <c r="A174" s="21"/>
      <c r="B174" s="20"/>
      <c r="C174" s="20"/>
      <c r="D174" s="19"/>
      <c r="E174" s="22"/>
      <c r="F174" s="4"/>
      <c r="G174" s="11">
        <f t="shared" si="10"/>
        <v>0</v>
      </c>
      <c r="H174" s="23">
        <f t="shared" si="11"/>
        <v>0</v>
      </c>
      <c r="I174" s="20"/>
    </row>
    <row r="175" spans="1:9" x14ac:dyDescent="0.25">
      <c r="A175" s="21"/>
      <c r="B175" s="20"/>
      <c r="C175" s="20"/>
      <c r="D175" s="19"/>
      <c r="E175" s="22"/>
      <c r="F175" s="4"/>
      <c r="G175" s="11">
        <f t="shared" si="10"/>
        <v>0</v>
      </c>
      <c r="H175" s="23">
        <f t="shared" si="11"/>
        <v>0</v>
      </c>
      <c r="I175" s="20"/>
    </row>
    <row r="176" spans="1:9" x14ac:dyDescent="0.25">
      <c r="A176" s="21"/>
      <c r="B176" s="20"/>
      <c r="C176" s="20"/>
      <c r="D176" s="19"/>
      <c r="E176" s="22"/>
      <c r="F176" s="4"/>
      <c r="G176" s="11">
        <f t="shared" si="10"/>
        <v>0</v>
      </c>
      <c r="H176" s="23">
        <f t="shared" si="11"/>
        <v>0</v>
      </c>
      <c r="I176" s="20"/>
    </row>
    <row r="177" spans="1:9" x14ac:dyDescent="0.25">
      <c r="A177" s="21"/>
      <c r="B177" s="20"/>
      <c r="C177" s="20"/>
      <c r="D177" s="19"/>
      <c r="E177" s="22"/>
      <c r="F177" s="4"/>
      <c r="G177" s="11">
        <f t="shared" si="10"/>
        <v>0</v>
      </c>
      <c r="H177" s="23">
        <f t="shared" si="11"/>
        <v>0</v>
      </c>
      <c r="I177" s="20"/>
    </row>
    <row r="178" spans="1:9" x14ac:dyDescent="0.25">
      <c r="A178" s="21"/>
      <c r="B178" s="20"/>
      <c r="C178" s="20"/>
      <c r="D178" s="19"/>
      <c r="E178" s="22"/>
      <c r="F178" s="4"/>
      <c r="G178" s="11">
        <f t="shared" si="10"/>
        <v>0</v>
      </c>
      <c r="H178" s="23">
        <f t="shared" si="11"/>
        <v>0</v>
      </c>
      <c r="I178" s="20"/>
    </row>
    <row r="179" spans="1:9" x14ac:dyDescent="0.25">
      <c r="A179" s="21"/>
      <c r="B179" s="20"/>
      <c r="C179" s="20"/>
      <c r="D179" s="19"/>
      <c r="E179" s="22"/>
      <c r="F179" s="4"/>
      <c r="G179" s="11">
        <f t="shared" si="10"/>
        <v>0</v>
      </c>
      <c r="H179" s="23">
        <f t="shared" si="11"/>
        <v>0</v>
      </c>
      <c r="I179" s="20"/>
    </row>
    <row r="180" spans="1:9" x14ac:dyDescent="0.25">
      <c r="A180" s="21"/>
      <c r="B180" s="20"/>
      <c r="C180" s="20"/>
      <c r="D180" s="19"/>
      <c r="E180" s="22"/>
      <c r="F180" s="4"/>
      <c r="G180" s="11">
        <f t="shared" si="10"/>
        <v>0</v>
      </c>
      <c r="H180" s="23">
        <f t="shared" si="11"/>
        <v>0</v>
      </c>
      <c r="I180" s="20"/>
    </row>
    <row r="181" spans="1:9" x14ac:dyDescent="0.25">
      <c r="A181" s="21"/>
      <c r="B181" s="20"/>
      <c r="C181" s="20"/>
      <c r="D181" s="19"/>
      <c r="E181" s="22"/>
      <c r="F181" s="4"/>
      <c r="G181" s="11">
        <f t="shared" si="10"/>
        <v>0</v>
      </c>
      <c r="H181" s="23">
        <f t="shared" si="11"/>
        <v>0</v>
      </c>
      <c r="I181" s="20"/>
    </row>
    <row r="182" spans="1:9" x14ac:dyDescent="0.25">
      <c r="A182" s="21"/>
      <c r="B182" s="20"/>
      <c r="C182" s="20"/>
      <c r="D182" s="19"/>
      <c r="E182" s="22"/>
      <c r="F182" s="4"/>
      <c r="G182" s="11">
        <f t="shared" si="10"/>
        <v>0</v>
      </c>
      <c r="H182" s="23">
        <f t="shared" si="11"/>
        <v>0</v>
      </c>
      <c r="I182" s="20"/>
    </row>
    <row r="183" spans="1:9" x14ac:dyDescent="0.25">
      <c r="A183" s="21"/>
      <c r="B183" s="20"/>
      <c r="C183" s="20"/>
      <c r="D183" s="19"/>
      <c r="E183" s="22"/>
      <c r="F183" s="4"/>
      <c r="G183" s="11">
        <f t="shared" si="10"/>
        <v>0</v>
      </c>
      <c r="H183" s="23">
        <f t="shared" si="11"/>
        <v>0</v>
      </c>
      <c r="I183" s="20"/>
    </row>
    <row r="184" spans="1:9" x14ac:dyDescent="0.25">
      <c r="A184" s="21"/>
      <c r="B184" s="20"/>
      <c r="C184" s="20"/>
      <c r="D184" s="19"/>
      <c r="E184" s="22"/>
      <c r="F184" s="4"/>
      <c r="G184" s="11">
        <f t="shared" si="10"/>
        <v>0</v>
      </c>
      <c r="H184" s="23">
        <f t="shared" si="11"/>
        <v>0</v>
      </c>
      <c r="I184" s="20"/>
    </row>
    <row r="185" spans="1:9" x14ac:dyDescent="0.25">
      <c r="A185" s="21"/>
      <c r="B185" s="20"/>
      <c r="C185" s="20"/>
      <c r="D185" s="19"/>
      <c r="E185" s="22"/>
      <c r="F185" s="4"/>
      <c r="G185" s="11">
        <f t="shared" si="10"/>
        <v>0</v>
      </c>
      <c r="H185" s="23">
        <f t="shared" si="11"/>
        <v>0</v>
      </c>
      <c r="I185" s="20"/>
    </row>
    <row r="186" spans="1:9" x14ac:dyDescent="0.25">
      <c r="A186" s="21"/>
      <c r="B186" s="20"/>
      <c r="C186" s="20"/>
      <c r="D186" s="19"/>
      <c r="E186" s="22"/>
      <c r="F186" s="4"/>
      <c r="G186" s="11">
        <f t="shared" si="10"/>
        <v>0</v>
      </c>
      <c r="H186" s="23">
        <f t="shared" si="11"/>
        <v>0</v>
      </c>
      <c r="I186" s="20"/>
    </row>
    <row r="187" spans="1:9" x14ac:dyDescent="0.25">
      <c r="A187" s="21"/>
      <c r="B187" s="20"/>
      <c r="C187" s="20"/>
      <c r="D187" s="19"/>
      <c r="E187" s="22"/>
      <c r="F187" s="4"/>
      <c r="G187" s="11">
        <f t="shared" si="10"/>
        <v>0</v>
      </c>
      <c r="H187" s="23">
        <f t="shared" si="11"/>
        <v>0</v>
      </c>
      <c r="I187" s="20"/>
    </row>
    <row r="188" spans="1:9" x14ac:dyDescent="0.25">
      <c r="A188" s="21"/>
      <c r="B188" s="20"/>
      <c r="C188" s="20"/>
      <c r="D188" s="19"/>
      <c r="E188" s="22"/>
      <c r="F188" s="4"/>
      <c r="G188" s="11">
        <f t="shared" si="10"/>
        <v>0</v>
      </c>
      <c r="H188" s="23">
        <f t="shared" si="11"/>
        <v>0</v>
      </c>
      <c r="I188" s="20"/>
    </row>
    <row r="189" spans="1:9" x14ac:dyDescent="0.25">
      <c r="A189" s="21"/>
      <c r="B189" s="20"/>
      <c r="C189" s="20"/>
      <c r="D189" s="19"/>
      <c r="E189" s="22"/>
      <c r="F189" s="4"/>
      <c r="G189" s="11">
        <f t="shared" si="10"/>
        <v>0</v>
      </c>
      <c r="H189" s="23">
        <f t="shared" si="11"/>
        <v>0</v>
      </c>
      <c r="I189" s="20"/>
    </row>
    <row r="190" spans="1:9" x14ac:dyDescent="0.25">
      <c r="A190" s="21"/>
      <c r="B190" s="20"/>
      <c r="C190" s="20"/>
      <c r="D190" s="19"/>
      <c r="E190" s="22"/>
      <c r="F190" s="4"/>
      <c r="G190" s="11">
        <f t="shared" si="10"/>
        <v>0</v>
      </c>
      <c r="H190" s="23">
        <f t="shared" si="11"/>
        <v>0</v>
      </c>
      <c r="I190" s="20"/>
    </row>
    <row r="191" spans="1:9" x14ac:dyDescent="0.25">
      <c r="A191" s="21"/>
      <c r="B191" s="20"/>
      <c r="C191" s="20"/>
      <c r="D191" s="19"/>
      <c r="E191" s="22"/>
      <c r="F191" s="4"/>
      <c r="G191" s="11">
        <f t="shared" si="10"/>
        <v>0</v>
      </c>
      <c r="H191" s="23">
        <f t="shared" si="11"/>
        <v>0</v>
      </c>
      <c r="I191" s="20"/>
    </row>
    <row r="192" spans="1:9" x14ac:dyDescent="0.25">
      <c r="A192" s="21"/>
      <c r="B192" s="20"/>
      <c r="C192" s="20"/>
      <c r="D192" s="19"/>
      <c r="E192" s="22"/>
      <c r="F192" s="4"/>
      <c r="G192" s="11">
        <f t="shared" si="10"/>
        <v>0</v>
      </c>
      <c r="H192" s="23">
        <f t="shared" si="11"/>
        <v>0</v>
      </c>
      <c r="I192" s="20"/>
    </row>
    <row r="193" spans="1:9" x14ac:dyDescent="0.25">
      <c r="A193" s="21"/>
      <c r="B193" s="20"/>
      <c r="C193" s="20"/>
      <c r="D193" s="19"/>
      <c r="E193" s="22"/>
      <c r="F193" s="4"/>
      <c r="G193" s="11">
        <f t="shared" si="10"/>
        <v>0</v>
      </c>
      <c r="H193" s="23">
        <f t="shared" si="11"/>
        <v>0</v>
      </c>
      <c r="I193" s="20"/>
    </row>
    <row r="194" spans="1:9" x14ac:dyDescent="0.25">
      <c r="A194" s="21"/>
      <c r="B194" s="20"/>
      <c r="C194" s="20"/>
      <c r="D194" s="19"/>
      <c r="E194" s="22"/>
      <c r="F194" s="4"/>
      <c r="G194" s="11">
        <f t="shared" si="10"/>
        <v>0</v>
      </c>
      <c r="H194" s="23">
        <f t="shared" si="11"/>
        <v>0</v>
      </c>
      <c r="I194" s="20"/>
    </row>
    <row r="195" spans="1:9" x14ac:dyDescent="0.25">
      <c r="A195" s="21"/>
      <c r="B195" s="20"/>
      <c r="C195" s="20"/>
      <c r="D195" s="19"/>
      <c r="E195" s="22"/>
      <c r="F195" s="4"/>
      <c r="G195" s="11">
        <f t="shared" si="10"/>
        <v>0</v>
      </c>
      <c r="H195" s="23">
        <f t="shared" si="11"/>
        <v>0</v>
      </c>
      <c r="I195" s="20"/>
    </row>
    <row r="196" spans="1:9" x14ac:dyDescent="0.25">
      <c r="A196" s="21"/>
      <c r="B196" s="20"/>
      <c r="C196" s="20"/>
      <c r="D196" s="19"/>
      <c r="E196" s="22"/>
      <c r="F196" s="4"/>
      <c r="G196" s="11">
        <f t="shared" si="10"/>
        <v>0</v>
      </c>
      <c r="H196" s="23">
        <f t="shared" si="11"/>
        <v>0</v>
      </c>
      <c r="I196" s="20"/>
    </row>
    <row r="197" spans="1:9" x14ac:dyDescent="0.25">
      <c r="A197" s="21"/>
      <c r="B197" s="20"/>
      <c r="C197" s="20"/>
      <c r="D197" s="19"/>
      <c r="E197" s="22"/>
      <c r="F197" s="4"/>
      <c r="G197" s="11">
        <f t="shared" ref="G197:G204" si="12">IF(OR(D197="",E197="",N(E197)=0),0,D197/E197)</f>
        <v>0</v>
      </c>
      <c r="H197" s="23">
        <f t="shared" ref="H197:H204" si="13">IF(OR(F197="",E197=""),0,EDATE(F197,E197-1))</f>
        <v>0</v>
      </c>
      <c r="I197" s="20"/>
    </row>
    <row r="198" spans="1:9" x14ac:dyDescent="0.25">
      <c r="A198" s="21"/>
      <c r="B198" s="20"/>
      <c r="C198" s="20"/>
      <c r="D198" s="19"/>
      <c r="E198" s="22"/>
      <c r="F198" s="4"/>
      <c r="G198" s="11">
        <f t="shared" si="12"/>
        <v>0</v>
      </c>
      <c r="H198" s="23">
        <f t="shared" si="13"/>
        <v>0</v>
      </c>
      <c r="I198" s="20"/>
    </row>
    <row r="199" spans="1:9" x14ac:dyDescent="0.25">
      <c r="A199" s="21"/>
      <c r="B199" s="20"/>
      <c r="C199" s="20"/>
      <c r="D199" s="19"/>
      <c r="E199" s="22"/>
      <c r="F199" s="4"/>
      <c r="G199" s="11">
        <f t="shared" si="12"/>
        <v>0</v>
      </c>
      <c r="H199" s="23">
        <f t="shared" si="13"/>
        <v>0</v>
      </c>
      <c r="I199" s="20"/>
    </row>
    <row r="200" spans="1:9" x14ac:dyDescent="0.25">
      <c r="A200" s="21"/>
      <c r="B200" s="20"/>
      <c r="C200" s="20"/>
      <c r="D200" s="19"/>
      <c r="E200" s="22"/>
      <c r="F200" s="4"/>
      <c r="G200" s="11">
        <f t="shared" si="12"/>
        <v>0</v>
      </c>
      <c r="H200" s="23">
        <f t="shared" si="13"/>
        <v>0</v>
      </c>
      <c r="I200" s="20"/>
    </row>
    <row r="201" spans="1:9" x14ac:dyDescent="0.25">
      <c r="A201" s="21"/>
      <c r="B201" s="20"/>
      <c r="C201" s="20"/>
      <c r="D201" s="19"/>
      <c r="E201" s="22"/>
      <c r="F201" s="4"/>
      <c r="G201" s="11">
        <f t="shared" si="12"/>
        <v>0</v>
      </c>
      <c r="H201" s="23">
        <f t="shared" si="13"/>
        <v>0</v>
      </c>
      <c r="I201" s="20"/>
    </row>
    <row r="202" spans="1:9" x14ac:dyDescent="0.25">
      <c r="A202" s="21"/>
      <c r="B202" s="20"/>
      <c r="C202" s="20"/>
      <c r="D202" s="19"/>
      <c r="E202" s="22"/>
      <c r="F202" s="4"/>
      <c r="G202" s="11">
        <f t="shared" si="12"/>
        <v>0</v>
      </c>
      <c r="H202" s="23">
        <f t="shared" si="13"/>
        <v>0</v>
      </c>
      <c r="I202" s="20"/>
    </row>
    <row r="203" spans="1:9" x14ac:dyDescent="0.25">
      <c r="A203" s="21"/>
      <c r="B203" s="20"/>
      <c r="C203" s="20"/>
      <c r="D203" s="19"/>
      <c r="E203" s="22"/>
      <c r="F203" s="4"/>
      <c r="G203" s="11">
        <f t="shared" si="12"/>
        <v>0</v>
      </c>
      <c r="H203" s="23">
        <f t="shared" si="13"/>
        <v>0</v>
      </c>
      <c r="I203" s="20"/>
    </row>
    <row r="204" spans="1:9" x14ac:dyDescent="0.25">
      <c r="A204" s="21"/>
      <c r="B204" s="20"/>
      <c r="C204" s="20"/>
      <c r="D204" s="19"/>
      <c r="E204" s="22"/>
      <c r="F204" s="4"/>
      <c r="G204" s="11">
        <f t="shared" si="12"/>
        <v>0</v>
      </c>
      <c r="H204" s="23">
        <f t="shared" si="13"/>
        <v>0</v>
      </c>
      <c r="I204" s="20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Config!$A$12:$A$13</xm:f>
          </x14:formula1>
          <xm:sqref>C5:C204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39DDB"/>
  </sheetPr>
  <dimension ref="A1:S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6" customWidth="1"/>
    <col min="3" max="3" width="26" customWidth="1"/>
    <col min="4" max="19" width="12.42578125" customWidth="1"/>
  </cols>
  <sheetData>
    <row r="1" spans="1:19" ht="20.25" x14ac:dyDescent="0.3">
      <c r="A1" s="1" t="s">
        <v>96</v>
      </c>
    </row>
    <row r="2" spans="1:19" x14ac:dyDescent="0.25">
      <c r="A2" s="2" t="s">
        <v>97</v>
      </c>
    </row>
    <row r="4" spans="1:19" x14ac:dyDescent="0.25">
      <c r="A4" s="9" t="s">
        <v>34</v>
      </c>
      <c r="B4" s="9" t="s">
        <v>12</v>
      </c>
      <c r="C4" s="9" t="s">
        <v>35</v>
      </c>
      <c r="D4" s="18">
        <v>46296</v>
      </c>
      <c r="E4" s="18">
        <v>46327</v>
      </c>
      <c r="F4" s="18">
        <v>46357</v>
      </c>
      <c r="G4" s="18">
        <v>46388</v>
      </c>
      <c r="H4" s="18">
        <v>46419</v>
      </c>
      <c r="I4" s="18">
        <v>46447</v>
      </c>
      <c r="J4" s="18">
        <v>46478</v>
      </c>
      <c r="K4" s="18">
        <v>46508</v>
      </c>
      <c r="L4" s="18">
        <v>46539</v>
      </c>
      <c r="M4" s="18">
        <v>46569</v>
      </c>
      <c r="N4" s="18">
        <v>46600</v>
      </c>
      <c r="O4" s="18">
        <v>46631</v>
      </c>
      <c r="P4" s="18">
        <v>46661</v>
      </c>
      <c r="Q4" s="18">
        <v>46692</v>
      </c>
      <c r="R4" s="18">
        <v>46722</v>
      </c>
      <c r="S4" s="9" t="s">
        <v>36</v>
      </c>
    </row>
    <row r="5" spans="1:19" x14ac:dyDescent="0.25">
      <c r="A5" s="3" t="s">
        <v>98</v>
      </c>
      <c r="B5" s="10" t="s">
        <v>99</v>
      </c>
      <c r="C5" s="2" t="s">
        <v>100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1">
        <f>SUM(D5:R5)</f>
        <v>0</v>
      </c>
    </row>
    <row r="6" spans="1:19" x14ac:dyDescent="0.25">
      <c r="A6" s="3" t="s">
        <v>101</v>
      </c>
      <c r="B6" s="10" t="s">
        <v>102</v>
      </c>
      <c r="C6" s="2" t="s">
        <v>103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1">
        <f>SUM(D6:R6)</f>
        <v>0</v>
      </c>
    </row>
    <row r="7" spans="1:19" x14ac:dyDescent="0.25">
      <c r="A7" s="3" t="s">
        <v>104</v>
      </c>
      <c r="D7" s="11">
        <f t="shared" ref="D7:R7" si="0">MIN(D5,D6)</f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4">
        <f>SUM(D7:R7)</f>
        <v>0</v>
      </c>
    </row>
    <row r="8" spans="1:19" x14ac:dyDescent="0.25">
      <c r="A8" s="3" t="s">
        <v>105</v>
      </c>
      <c r="D8" s="16">
        <f t="shared" ref="D8:R8" si="1">MAX(0,D5-D6)</f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>SUM(D8:R8)</f>
        <v>0</v>
      </c>
    </row>
    <row r="9" spans="1:19" x14ac:dyDescent="0.25">
      <c r="A9" s="3" t="s">
        <v>106</v>
      </c>
      <c r="D9" s="11">
        <f t="shared" ref="D9:R9" si="2">MAX(0,D6-D5)</f>
        <v>0</v>
      </c>
      <c r="E9" s="11">
        <f t="shared" si="2"/>
        <v>0</v>
      </c>
      <c r="F9" s="11">
        <f t="shared" si="2"/>
        <v>0</v>
      </c>
      <c r="G9" s="11">
        <f t="shared" si="2"/>
        <v>0</v>
      </c>
      <c r="H9" s="11">
        <f t="shared" si="2"/>
        <v>0</v>
      </c>
      <c r="I9" s="11">
        <f t="shared" si="2"/>
        <v>0</v>
      </c>
      <c r="J9" s="11">
        <f t="shared" si="2"/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  <c r="O9" s="11">
        <f t="shared" si="2"/>
        <v>0</v>
      </c>
      <c r="P9" s="11">
        <f t="shared" si="2"/>
        <v>0</v>
      </c>
      <c r="Q9" s="11">
        <f t="shared" si="2"/>
        <v>0</v>
      </c>
      <c r="R9" s="11">
        <f t="shared" si="2"/>
        <v>0</v>
      </c>
      <c r="S9" s="14">
        <f>SUM(D9:R9)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39DDB"/>
  </sheetPr>
  <dimension ref="A1:Q24"/>
  <sheetViews>
    <sheetView showGridLines="0" workbookViewId="0"/>
  </sheetViews>
  <sheetFormatPr defaultRowHeight="15" x14ac:dyDescent="0.25"/>
  <cols>
    <col min="1" max="1" width="36" customWidth="1"/>
    <col min="2" max="3" width="13.42578125" customWidth="1"/>
    <col min="4" max="4" width="20" customWidth="1"/>
    <col min="5" max="6" width="13.42578125" customWidth="1"/>
    <col min="7" max="7" width="16" customWidth="1"/>
    <col min="8" max="17" width="13.42578125" customWidth="1"/>
  </cols>
  <sheetData>
    <row r="1" spans="1:17" ht="20.25" x14ac:dyDescent="0.3">
      <c r="A1" s="1" t="s">
        <v>107</v>
      </c>
    </row>
    <row r="2" spans="1:17" x14ac:dyDescent="0.25">
      <c r="A2" s="2" t="s">
        <v>108</v>
      </c>
    </row>
    <row r="4" spans="1:17" ht="30" x14ac:dyDescent="0.25">
      <c r="A4" s="9" t="s">
        <v>109</v>
      </c>
      <c r="B4" s="9" t="s">
        <v>91</v>
      </c>
      <c r="C4" s="9" t="s">
        <v>110</v>
      </c>
      <c r="D4" s="9" t="s">
        <v>111</v>
      </c>
      <c r="E4" s="9" t="s">
        <v>112</v>
      </c>
      <c r="F4" s="9" t="s">
        <v>113</v>
      </c>
      <c r="G4" s="9" t="s">
        <v>35</v>
      </c>
    </row>
    <row r="5" spans="1:17" x14ac:dyDescent="0.25">
      <c r="A5" s="20" t="s">
        <v>114</v>
      </c>
      <c r="B5" s="19">
        <v>800</v>
      </c>
      <c r="C5" s="4">
        <v>46419</v>
      </c>
      <c r="D5" s="4">
        <v>46327</v>
      </c>
      <c r="E5" s="24">
        <f t="shared" ref="E5:E12" si="0">IF(OR(C5="",D5=""),0,(YEAR(C5)-YEAR(D5))*12+MONTH(C5)-MONTH(D5)+1)</f>
        <v>4</v>
      </c>
      <c r="F5" s="11">
        <f t="shared" ref="F5:F12" si="1">IF(E5&lt;=0,0,B5/E5)</f>
        <v>200</v>
      </c>
      <c r="G5" s="2" t="s">
        <v>115</v>
      </c>
    </row>
    <row r="6" spans="1:17" x14ac:dyDescent="0.25">
      <c r="A6" s="20" t="s">
        <v>116</v>
      </c>
      <c r="B6" s="19">
        <v>350</v>
      </c>
      <c r="C6" s="4">
        <v>46388</v>
      </c>
      <c r="D6" s="4">
        <v>46327</v>
      </c>
      <c r="E6" s="24">
        <f t="shared" si="0"/>
        <v>3</v>
      </c>
      <c r="F6" s="11">
        <f t="shared" si="1"/>
        <v>116.66666666666667</v>
      </c>
      <c r="G6" s="2" t="s">
        <v>117</v>
      </c>
    </row>
    <row r="7" spans="1:17" x14ac:dyDescent="0.25">
      <c r="A7" s="20"/>
      <c r="B7" s="19"/>
      <c r="C7" s="4"/>
      <c r="D7" s="4"/>
      <c r="E7" s="24">
        <f t="shared" si="0"/>
        <v>0</v>
      </c>
      <c r="F7" s="11">
        <f t="shared" si="1"/>
        <v>0</v>
      </c>
      <c r="G7" s="2"/>
    </row>
    <row r="8" spans="1:17" x14ac:dyDescent="0.25">
      <c r="A8" s="20"/>
      <c r="B8" s="19"/>
      <c r="C8" s="4"/>
      <c r="D8" s="4"/>
      <c r="E8" s="24">
        <f t="shared" si="0"/>
        <v>0</v>
      </c>
      <c r="F8" s="11">
        <f t="shared" si="1"/>
        <v>0</v>
      </c>
      <c r="G8" s="2"/>
    </row>
    <row r="9" spans="1:17" x14ac:dyDescent="0.25">
      <c r="A9" s="20"/>
      <c r="B9" s="19"/>
      <c r="C9" s="4"/>
      <c r="D9" s="4"/>
      <c r="E9" s="24">
        <f t="shared" si="0"/>
        <v>0</v>
      </c>
      <c r="F9" s="11">
        <f t="shared" si="1"/>
        <v>0</v>
      </c>
      <c r="G9" s="2"/>
    </row>
    <row r="10" spans="1:17" x14ac:dyDescent="0.25">
      <c r="A10" s="20"/>
      <c r="B10" s="19"/>
      <c r="C10" s="4"/>
      <c r="D10" s="4"/>
      <c r="E10" s="24">
        <f t="shared" si="0"/>
        <v>0</v>
      </c>
      <c r="F10" s="11">
        <f t="shared" si="1"/>
        <v>0</v>
      </c>
      <c r="G10" s="2"/>
    </row>
    <row r="11" spans="1:17" x14ac:dyDescent="0.25">
      <c r="A11" s="20"/>
      <c r="B11" s="19"/>
      <c r="C11" s="4"/>
      <c r="D11" s="4"/>
      <c r="E11" s="24">
        <f t="shared" si="0"/>
        <v>0</v>
      </c>
      <c r="F11" s="11">
        <f t="shared" si="1"/>
        <v>0</v>
      </c>
      <c r="G11" s="2"/>
    </row>
    <row r="12" spans="1:17" x14ac:dyDescent="0.25">
      <c r="A12" s="20"/>
      <c r="B12" s="19"/>
      <c r="C12" s="4"/>
      <c r="D12" s="4"/>
      <c r="E12" s="24">
        <f t="shared" si="0"/>
        <v>0</v>
      </c>
      <c r="F12" s="11">
        <f t="shared" si="1"/>
        <v>0</v>
      </c>
      <c r="G12" s="2"/>
    </row>
    <row r="14" spans="1:17" x14ac:dyDescent="0.25">
      <c r="A14" s="3" t="s">
        <v>118</v>
      </c>
    </row>
    <row r="15" spans="1:17" x14ac:dyDescent="0.25">
      <c r="A15" s="9" t="s">
        <v>109</v>
      </c>
      <c r="B15" s="18">
        <v>46296</v>
      </c>
      <c r="C15" s="18">
        <v>46327</v>
      </c>
      <c r="D15" s="18">
        <v>46357</v>
      </c>
      <c r="E15" s="18">
        <v>46388</v>
      </c>
      <c r="F15" s="18">
        <v>46419</v>
      </c>
      <c r="G15" s="18">
        <v>46447</v>
      </c>
      <c r="H15" s="18">
        <v>46478</v>
      </c>
      <c r="I15" s="18">
        <v>46508</v>
      </c>
      <c r="J15" s="18">
        <v>46539</v>
      </c>
      <c r="K15" s="18">
        <v>46569</v>
      </c>
      <c r="L15" s="18">
        <v>46600</v>
      </c>
      <c r="M15" s="18">
        <v>46631</v>
      </c>
      <c r="N15" s="18">
        <v>46661</v>
      </c>
      <c r="O15" s="18">
        <v>46692</v>
      </c>
      <c r="P15" s="18">
        <v>46722</v>
      </c>
      <c r="Q15" s="9" t="s">
        <v>36</v>
      </c>
    </row>
    <row r="16" spans="1:17" x14ac:dyDescent="0.25">
      <c r="A16" s="15" t="str">
        <f t="shared" ref="A16:A23" si="2">IF(A5="","",A5)</f>
        <v>IPTU da casa 2027</v>
      </c>
      <c r="B16" s="11">
        <f t="shared" ref="B16:P16" si="3">IF(AND(B$15&gt;=$D$5,B$15&lt;=$C$5),$F$5,0)</f>
        <v>0</v>
      </c>
      <c r="C16" s="11">
        <f t="shared" si="3"/>
        <v>200</v>
      </c>
      <c r="D16" s="11">
        <f t="shared" si="3"/>
        <v>200</v>
      </c>
      <c r="E16" s="11">
        <f t="shared" si="3"/>
        <v>200</v>
      </c>
      <c r="F16" s="11">
        <f t="shared" si="3"/>
        <v>200</v>
      </c>
      <c r="G16" s="11">
        <f t="shared" si="3"/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  <c r="N16" s="11">
        <f t="shared" si="3"/>
        <v>0</v>
      </c>
      <c r="O16" s="11">
        <f t="shared" si="3"/>
        <v>0</v>
      </c>
      <c r="P16" s="11">
        <f t="shared" si="3"/>
        <v>0</v>
      </c>
      <c r="Q16" s="11">
        <f t="shared" ref="Q16:Q23" si="4">SUM(B16:P16)</f>
        <v>800</v>
      </c>
    </row>
    <row r="17" spans="1:17" x14ac:dyDescent="0.25">
      <c r="A17" s="15" t="str">
        <f t="shared" si="2"/>
        <v>IPVA + licenciamento da moto 2027</v>
      </c>
      <c r="B17" s="11">
        <f t="shared" ref="B17:P17" si="5">IF(AND(B$15&gt;=$D$6,B$15&lt;=$C$6),$F$6,0)</f>
        <v>0</v>
      </c>
      <c r="C17" s="11">
        <f t="shared" si="5"/>
        <v>116.66666666666667</v>
      </c>
      <c r="D17" s="11">
        <f t="shared" si="5"/>
        <v>116.66666666666667</v>
      </c>
      <c r="E17" s="11">
        <f t="shared" si="5"/>
        <v>116.66666666666667</v>
      </c>
      <c r="F17" s="11">
        <f t="shared" si="5"/>
        <v>0</v>
      </c>
      <c r="G17" s="11">
        <f t="shared" si="5"/>
        <v>0</v>
      </c>
      <c r="H17" s="11">
        <f t="shared" si="5"/>
        <v>0</v>
      </c>
      <c r="I17" s="11">
        <f t="shared" si="5"/>
        <v>0</v>
      </c>
      <c r="J17" s="11">
        <f t="shared" si="5"/>
        <v>0</v>
      </c>
      <c r="K17" s="11">
        <f t="shared" si="5"/>
        <v>0</v>
      </c>
      <c r="L17" s="11">
        <f t="shared" si="5"/>
        <v>0</v>
      </c>
      <c r="M17" s="11">
        <f t="shared" si="5"/>
        <v>0</v>
      </c>
      <c r="N17" s="11">
        <f t="shared" si="5"/>
        <v>0</v>
      </c>
      <c r="O17" s="11">
        <f t="shared" si="5"/>
        <v>0</v>
      </c>
      <c r="P17" s="11">
        <f t="shared" si="5"/>
        <v>0</v>
      </c>
      <c r="Q17" s="11">
        <f t="shared" si="4"/>
        <v>350</v>
      </c>
    </row>
    <row r="18" spans="1:17" x14ac:dyDescent="0.25">
      <c r="A18" s="15" t="str">
        <f t="shared" si="2"/>
        <v/>
      </c>
      <c r="B18" s="11">
        <f t="shared" ref="B18:P18" si="6">IF(AND(B$15&gt;=$D$7,B$15&lt;=$C$7),$F$7,0)</f>
        <v>0</v>
      </c>
      <c r="C18" s="11">
        <f t="shared" si="6"/>
        <v>0</v>
      </c>
      <c r="D18" s="11">
        <f t="shared" si="6"/>
        <v>0</v>
      </c>
      <c r="E18" s="11">
        <f t="shared" si="6"/>
        <v>0</v>
      </c>
      <c r="F18" s="11">
        <f t="shared" si="6"/>
        <v>0</v>
      </c>
      <c r="G18" s="11">
        <f t="shared" si="6"/>
        <v>0</v>
      </c>
      <c r="H18" s="11">
        <f t="shared" si="6"/>
        <v>0</v>
      </c>
      <c r="I18" s="11">
        <f t="shared" si="6"/>
        <v>0</v>
      </c>
      <c r="J18" s="11">
        <f t="shared" si="6"/>
        <v>0</v>
      </c>
      <c r="K18" s="11">
        <f t="shared" si="6"/>
        <v>0</v>
      </c>
      <c r="L18" s="11">
        <f t="shared" si="6"/>
        <v>0</v>
      </c>
      <c r="M18" s="11">
        <f t="shared" si="6"/>
        <v>0</v>
      </c>
      <c r="N18" s="11">
        <f t="shared" si="6"/>
        <v>0</v>
      </c>
      <c r="O18" s="11">
        <f t="shared" si="6"/>
        <v>0</v>
      </c>
      <c r="P18" s="11">
        <f t="shared" si="6"/>
        <v>0</v>
      </c>
      <c r="Q18" s="11">
        <f t="shared" si="4"/>
        <v>0</v>
      </c>
    </row>
    <row r="19" spans="1:17" x14ac:dyDescent="0.25">
      <c r="A19" s="15" t="str">
        <f t="shared" si="2"/>
        <v/>
      </c>
      <c r="B19" s="11">
        <f t="shared" ref="B19:P19" si="7">IF(AND(B$15&gt;=$D$8,B$15&lt;=$C$8),$F$8,0)</f>
        <v>0</v>
      </c>
      <c r="C19" s="11">
        <f t="shared" si="7"/>
        <v>0</v>
      </c>
      <c r="D19" s="11">
        <f t="shared" si="7"/>
        <v>0</v>
      </c>
      <c r="E19" s="11">
        <f t="shared" si="7"/>
        <v>0</v>
      </c>
      <c r="F19" s="11">
        <f t="shared" si="7"/>
        <v>0</v>
      </c>
      <c r="G19" s="11">
        <f t="shared" si="7"/>
        <v>0</v>
      </c>
      <c r="H19" s="11">
        <f t="shared" si="7"/>
        <v>0</v>
      </c>
      <c r="I19" s="11">
        <f t="shared" si="7"/>
        <v>0</v>
      </c>
      <c r="J19" s="11">
        <f t="shared" si="7"/>
        <v>0</v>
      </c>
      <c r="K19" s="11">
        <f t="shared" si="7"/>
        <v>0</v>
      </c>
      <c r="L19" s="11">
        <f t="shared" si="7"/>
        <v>0</v>
      </c>
      <c r="M19" s="11">
        <f t="shared" si="7"/>
        <v>0</v>
      </c>
      <c r="N19" s="11">
        <f t="shared" si="7"/>
        <v>0</v>
      </c>
      <c r="O19" s="11">
        <f t="shared" si="7"/>
        <v>0</v>
      </c>
      <c r="P19" s="11">
        <f t="shared" si="7"/>
        <v>0</v>
      </c>
      <c r="Q19" s="11">
        <f t="shared" si="4"/>
        <v>0</v>
      </c>
    </row>
    <row r="20" spans="1:17" x14ac:dyDescent="0.25">
      <c r="A20" s="15" t="str">
        <f t="shared" si="2"/>
        <v/>
      </c>
      <c r="B20" s="11">
        <f t="shared" ref="B20:P20" si="8">IF(AND(B$15&gt;=$D$9,B$15&lt;=$C$9),$F$9,0)</f>
        <v>0</v>
      </c>
      <c r="C20" s="11">
        <f t="shared" si="8"/>
        <v>0</v>
      </c>
      <c r="D20" s="11">
        <f t="shared" si="8"/>
        <v>0</v>
      </c>
      <c r="E20" s="11">
        <f t="shared" si="8"/>
        <v>0</v>
      </c>
      <c r="F20" s="11">
        <f t="shared" si="8"/>
        <v>0</v>
      </c>
      <c r="G20" s="11">
        <f t="shared" si="8"/>
        <v>0</v>
      </c>
      <c r="H20" s="11">
        <f t="shared" si="8"/>
        <v>0</v>
      </c>
      <c r="I20" s="11">
        <f t="shared" si="8"/>
        <v>0</v>
      </c>
      <c r="J20" s="11">
        <f t="shared" si="8"/>
        <v>0</v>
      </c>
      <c r="K20" s="11">
        <f t="shared" si="8"/>
        <v>0</v>
      </c>
      <c r="L20" s="11">
        <f t="shared" si="8"/>
        <v>0</v>
      </c>
      <c r="M20" s="11">
        <f t="shared" si="8"/>
        <v>0</v>
      </c>
      <c r="N20" s="11">
        <f t="shared" si="8"/>
        <v>0</v>
      </c>
      <c r="O20" s="11">
        <f t="shared" si="8"/>
        <v>0</v>
      </c>
      <c r="P20" s="11">
        <f t="shared" si="8"/>
        <v>0</v>
      </c>
      <c r="Q20" s="11">
        <f t="shared" si="4"/>
        <v>0</v>
      </c>
    </row>
    <row r="21" spans="1:17" x14ac:dyDescent="0.25">
      <c r="A21" s="15" t="str">
        <f t="shared" si="2"/>
        <v/>
      </c>
      <c r="B21" s="11">
        <f t="shared" ref="B21:P21" si="9">IF(AND(B$15&gt;=$D$10,B$15&lt;=$C$10),$F$10,0)</f>
        <v>0</v>
      </c>
      <c r="C21" s="11">
        <f t="shared" si="9"/>
        <v>0</v>
      </c>
      <c r="D21" s="11">
        <f t="shared" si="9"/>
        <v>0</v>
      </c>
      <c r="E21" s="11">
        <f t="shared" si="9"/>
        <v>0</v>
      </c>
      <c r="F21" s="11">
        <f t="shared" si="9"/>
        <v>0</v>
      </c>
      <c r="G21" s="11">
        <f t="shared" si="9"/>
        <v>0</v>
      </c>
      <c r="H21" s="11">
        <f t="shared" si="9"/>
        <v>0</v>
      </c>
      <c r="I21" s="11">
        <f t="shared" si="9"/>
        <v>0</v>
      </c>
      <c r="J21" s="11">
        <f t="shared" si="9"/>
        <v>0</v>
      </c>
      <c r="K21" s="11">
        <f t="shared" si="9"/>
        <v>0</v>
      </c>
      <c r="L21" s="11">
        <f t="shared" si="9"/>
        <v>0</v>
      </c>
      <c r="M21" s="11">
        <f t="shared" si="9"/>
        <v>0</v>
      </c>
      <c r="N21" s="11">
        <f t="shared" si="9"/>
        <v>0</v>
      </c>
      <c r="O21" s="11">
        <f t="shared" si="9"/>
        <v>0</v>
      </c>
      <c r="P21" s="11">
        <f t="shared" si="9"/>
        <v>0</v>
      </c>
      <c r="Q21" s="11">
        <f t="shared" si="4"/>
        <v>0</v>
      </c>
    </row>
    <row r="22" spans="1:17" x14ac:dyDescent="0.25">
      <c r="A22" s="15" t="str">
        <f t="shared" si="2"/>
        <v/>
      </c>
      <c r="B22" s="11">
        <f t="shared" ref="B22:P22" si="10">IF(AND(B$15&gt;=$D$11,B$15&lt;=$C$11),$F$11,0)</f>
        <v>0</v>
      </c>
      <c r="C22" s="11">
        <f t="shared" si="10"/>
        <v>0</v>
      </c>
      <c r="D22" s="11">
        <f t="shared" si="10"/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>
        <f t="shared" si="10"/>
        <v>0</v>
      </c>
      <c r="J22" s="11">
        <f t="shared" si="10"/>
        <v>0</v>
      </c>
      <c r="K22" s="11">
        <f t="shared" si="10"/>
        <v>0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>
        <f t="shared" si="4"/>
        <v>0</v>
      </c>
    </row>
    <row r="23" spans="1:17" x14ac:dyDescent="0.25">
      <c r="A23" s="15" t="str">
        <f t="shared" si="2"/>
        <v/>
      </c>
      <c r="B23" s="11">
        <f t="shared" ref="B23:P23" si="11">IF(AND(B$15&gt;=$D$12,B$15&lt;=$C$12),$F$12,0)</f>
        <v>0</v>
      </c>
      <c r="C23" s="11">
        <f t="shared" si="11"/>
        <v>0</v>
      </c>
      <c r="D23" s="11">
        <f t="shared" si="11"/>
        <v>0</v>
      </c>
      <c r="E23" s="11">
        <f t="shared" si="11"/>
        <v>0</v>
      </c>
      <c r="F23" s="11">
        <f t="shared" si="11"/>
        <v>0</v>
      </c>
      <c r="G23" s="11">
        <f t="shared" si="11"/>
        <v>0</v>
      </c>
      <c r="H23" s="11">
        <f t="shared" si="11"/>
        <v>0</v>
      </c>
      <c r="I23" s="11">
        <f t="shared" si="11"/>
        <v>0</v>
      </c>
      <c r="J23" s="11">
        <f t="shared" si="11"/>
        <v>0</v>
      </c>
      <c r="K23" s="11">
        <f t="shared" si="11"/>
        <v>0</v>
      </c>
      <c r="L23" s="11">
        <f t="shared" si="11"/>
        <v>0</v>
      </c>
      <c r="M23" s="11">
        <f t="shared" si="11"/>
        <v>0</v>
      </c>
      <c r="N23" s="11">
        <f t="shared" si="11"/>
        <v>0</v>
      </c>
      <c r="O23" s="11">
        <f t="shared" si="11"/>
        <v>0</v>
      </c>
      <c r="P23" s="11">
        <f t="shared" si="11"/>
        <v>0</v>
      </c>
      <c r="Q23" s="11">
        <f t="shared" si="4"/>
        <v>0</v>
      </c>
    </row>
    <row r="24" spans="1:17" x14ac:dyDescent="0.25">
      <c r="A24" s="3" t="s">
        <v>119</v>
      </c>
      <c r="B24" s="16">
        <f t="shared" ref="B24:Q24" si="12">SUM(B16:B23)</f>
        <v>0</v>
      </c>
      <c r="C24" s="16">
        <f t="shared" si="12"/>
        <v>316.66666666666669</v>
      </c>
      <c r="D24" s="16">
        <f t="shared" si="12"/>
        <v>316.66666666666669</v>
      </c>
      <c r="E24" s="16">
        <f t="shared" si="12"/>
        <v>316.66666666666669</v>
      </c>
      <c r="F24" s="16">
        <f t="shared" si="12"/>
        <v>200</v>
      </c>
      <c r="G24" s="16">
        <f t="shared" si="12"/>
        <v>0</v>
      </c>
      <c r="H24" s="16">
        <f t="shared" si="12"/>
        <v>0</v>
      </c>
      <c r="I24" s="16">
        <f t="shared" si="12"/>
        <v>0</v>
      </c>
      <c r="J24" s="16">
        <f t="shared" si="12"/>
        <v>0</v>
      </c>
      <c r="K24" s="16">
        <f t="shared" si="12"/>
        <v>0</v>
      </c>
      <c r="L24" s="16">
        <f t="shared" si="12"/>
        <v>0</v>
      </c>
      <c r="M24" s="16">
        <f t="shared" si="12"/>
        <v>0</v>
      </c>
      <c r="N24" s="16">
        <f t="shared" si="12"/>
        <v>0</v>
      </c>
      <c r="O24" s="16">
        <f t="shared" si="12"/>
        <v>0</v>
      </c>
      <c r="P24" s="16">
        <f t="shared" si="12"/>
        <v>0</v>
      </c>
      <c r="Q24" s="16">
        <f t="shared" si="12"/>
        <v>1150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39DDB"/>
  </sheetPr>
  <dimension ref="A1:Q20"/>
  <sheetViews>
    <sheetView showGridLines="0" workbookViewId="0"/>
  </sheetViews>
  <sheetFormatPr defaultRowHeight="15" x14ac:dyDescent="0.25"/>
  <cols>
    <col min="1" max="1" width="34" customWidth="1"/>
    <col min="2" max="17" width="14" customWidth="1"/>
  </cols>
  <sheetData>
    <row r="1" spans="1:17" ht="20.25" x14ac:dyDescent="0.3">
      <c r="A1" s="1" t="s">
        <v>120</v>
      </c>
    </row>
    <row r="2" spans="1:17" x14ac:dyDescent="0.25">
      <c r="A2" s="2" t="s">
        <v>121</v>
      </c>
    </row>
    <row r="4" spans="1:17" ht="30" x14ac:dyDescent="0.25">
      <c r="A4" s="9" t="s">
        <v>122</v>
      </c>
      <c r="B4" s="9" t="s">
        <v>123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130</v>
      </c>
      <c r="J4" s="9" t="s">
        <v>131</v>
      </c>
    </row>
    <row r="5" spans="1:17" x14ac:dyDescent="0.25">
      <c r="A5" s="20" t="s">
        <v>132</v>
      </c>
      <c r="B5" s="19">
        <v>0</v>
      </c>
      <c r="C5" s="4">
        <v>46722</v>
      </c>
      <c r="D5" s="19">
        <v>0</v>
      </c>
      <c r="E5" s="4">
        <v>46327</v>
      </c>
      <c r="F5" s="24">
        <f t="shared" ref="F5:F10" si="0">IF(OR(C5="",E5=""),0,(YEAR(C5)-YEAR(E5))*12+MONTH(C5)-MONTH(E5)+1)</f>
        <v>14</v>
      </c>
      <c r="G5" s="11">
        <f t="shared" ref="G5:G10" si="1">IF(F5&lt;=0,0,MAX(0,B5-D5)/F5)</f>
        <v>0</v>
      </c>
      <c r="H5" s="11">
        <f t="shared" ref="H5:H10" si="2">N(D5)+Q14</f>
        <v>0</v>
      </c>
      <c r="I5" s="12">
        <f t="shared" ref="I5:I10" si="3">IF(N(B5)=0,0,MIN(1,H5/B5))</f>
        <v>0</v>
      </c>
      <c r="J5" s="11">
        <f t="shared" ref="J5:J10" si="4">MAX(0,N(B5)-H5)</f>
        <v>0</v>
      </c>
    </row>
    <row r="6" spans="1:17" x14ac:dyDescent="0.25">
      <c r="A6" s="20"/>
      <c r="B6" s="19"/>
      <c r="C6" s="4"/>
      <c r="D6" s="19"/>
      <c r="E6" s="4"/>
      <c r="F6" s="24">
        <f t="shared" si="0"/>
        <v>0</v>
      </c>
      <c r="G6" s="11">
        <f t="shared" si="1"/>
        <v>0</v>
      </c>
      <c r="H6" s="11">
        <f t="shared" si="2"/>
        <v>0</v>
      </c>
      <c r="I6" s="12">
        <f t="shared" si="3"/>
        <v>0</v>
      </c>
      <c r="J6" s="11">
        <f t="shared" si="4"/>
        <v>0</v>
      </c>
    </row>
    <row r="7" spans="1:17" x14ac:dyDescent="0.25">
      <c r="A7" s="20"/>
      <c r="B7" s="19"/>
      <c r="C7" s="4"/>
      <c r="D7" s="19"/>
      <c r="E7" s="4"/>
      <c r="F7" s="24">
        <f t="shared" si="0"/>
        <v>0</v>
      </c>
      <c r="G7" s="11">
        <f t="shared" si="1"/>
        <v>0</v>
      </c>
      <c r="H7" s="11">
        <f t="shared" si="2"/>
        <v>0</v>
      </c>
      <c r="I7" s="12">
        <f t="shared" si="3"/>
        <v>0</v>
      </c>
      <c r="J7" s="11">
        <f t="shared" si="4"/>
        <v>0</v>
      </c>
    </row>
    <row r="8" spans="1:17" x14ac:dyDescent="0.25">
      <c r="A8" s="20"/>
      <c r="B8" s="19"/>
      <c r="C8" s="4"/>
      <c r="D8" s="19"/>
      <c r="E8" s="4"/>
      <c r="F8" s="24">
        <f t="shared" si="0"/>
        <v>0</v>
      </c>
      <c r="G8" s="11">
        <f t="shared" si="1"/>
        <v>0</v>
      </c>
      <c r="H8" s="11">
        <f t="shared" si="2"/>
        <v>0</v>
      </c>
      <c r="I8" s="12">
        <f t="shared" si="3"/>
        <v>0</v>
      </c>
      <c r="J8" s="11">
        <f t="shared" si="4"/>
        <v>0</v>
      </c>
    </row>
    <row r="9" spans="1:17" x14ac:dyDescent="0.25">
      <c r="A9" s="20"/>
      <c r="B9" s="19"/>
      <c r="C9" s="4"/>
      <c r="D9" s="19"/>
      <c r="E9" s="4"/>
      <c r="F9" s="24">
        <f t="shared" si="0"/>
        <v>0</v>
      </c>
      <c r="G9" s="11">
        <f t="shared" si="1"/>
        <v>0</v>
      </c>
      <c r="H9" s="11">
        <f t="shared" si="2"/>
        <v>0</v>
      </c>
      <c r="I9" s="12">
        <f t="shared" si="3"/>
        <v>0</v>
      </c>
      <c r="J9" s="11">
        <f t="shared" si="4"/>
        <v>0</v>
      </c>
    </row>
    <row r="10" spans="1:17" x14ac:dyDescent="0.25">
      <c r="A10" s="20"/>
      <c r="B10" s="19"/>
      <c r="C10" s="4"/>
      <c r="D10" s="19"/>
      <c r="E10" s="4"/>
      <c r="F10" s="24">
        <f t="shared" si="0"/>
        <v>0</v>
      </c>
      <c r="G10" s="11">
        <f t="shared" si="1"/>
        <v>0</v>
      </c>
      <c r="H10" s="11">
        <f t="shared" si="2"/>
        <v>0</v>
      </c>
      <c r="I10" s="12">
        <f t="shared" si="3"/>
        <v>0</v>
      </c>
      <c r="J10" s="11">
        <f t="shared" si="4"/>
        <v>0</v>
      </c>
    </row>
    <row r="12" spans="1:17" x14ac:dyDescent="0.25">
      <c r="A12" s="3" t="s">
        <v>133</v>
      </c>
    </row>
    <row r="13" spans="1:17" x14ac:dyDescent="0.25">
      <c r="A13" s="9" t="s">
        <v>122</v>
      </c>
      <c r="B13" s="18">
        <v>46296</v>
      </c>
      <c r="C13" s="18">
        <v>46327</v>
      </c>
      <c r="D13" s="18">
        <v>46357</v>
      </c>
      <c r="E13" s="18">
        <v>46388</v>
      </c>
      <c r="F13" s="18">
        <v>46419</v>
      </c>
      <c r="G13" s="18">
        <v>46447</v>
      </c>
      <c r="H13" s="18">
        <v>46478</v>
      </c>
      <c r="I13" s="18">
        <v>46508</v>
      </c>
      <c r="J13" s="18">
        <v>46539</v>
      </c>
      <c r="K13" s="18">
        <v>46569</v>
      </c>
      <c r="L13" s="18">
        <v>46600</v>
      </c>
      <c r="M13" s="18">
        <v>46631</v>
      </c>
      <c r="N13" s="18">
        <v>46661</v>
      </c>
      <c r="O13" s="18">
        <v>46692</v>
      </c>
      <c r="P13" s="18">
        <v>46722</v>
      </c>
      <c r="Q13" s="9" t="s">
        <v>36</v>
      </c>
    </row>
    <row r="14" spans="1:17" x14ac:dyDescent="0.25">
      <c r="A14" s="15" t="str">
        <f>IF(A5="","(meta 1)",A5)</f>
        <v>Reserva do casal até dez/27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1">
        <f t="shared" ref="Q14:Q19" si="5">SUM(B14:P14)</f>
        <v>0</v>
      </c>
    </row>
    <row r="15" spans="1:17" x14ac:dyDescent="0.25">
      <c r="A15" s="15" t="str">
        <f>IF(A6="","(meta 2)",A6)</f>
        <v>(meta 2)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1">
        <f t="shared" si="5"/>
        <v>0</v>
      </c>
    </row>
    <row r="16" spans="1:17" x14ac:dyDescent="0.25">
      <c r="A16" s="15" t="str">
        <f>IF(A7="","(meta 3)",A7)</f>
        <v>(meta 3)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1">
        <f t="shared" si="5"/>
        <v>0</v>
      </c>
    </row>
    <row r="17" spans="1:17" x14ac:dyDescent="0.25">
      <c r="A17" s="15" t="str">
        <f>IF(A8="","(meta 4)",A8)</f>
        <v>(meta 4)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1">
        <f t="shared" si="5"/>
        <v>0</v>
      </c>
    </row>
    <row r="18" spans="1:17" x14ac:dyDescent="0.25">
      <c r="A18" s="15" t="str">
        <f>IF(A9="","(meta 5)",A9)</f>
        <v>(meta 5)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1">
        <f t="shared" si="5"/>
        <v>0</v>
      </c>
    </row>
    <row r="19" spans="1:17" x14ac:dyDescent="0.25">
      <c r="A19" s="15" t="str">
        <f>IF(A10="","(meta 6)",A10)</f>
        <v>(meta 6)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1">
        <f t="shared" si="5"/>
        <v>0</v>
      </c>
    </row>
    <row r="20" spans="1:17" x14ac:dyDescent="0.25">
      <c r="A20" s="3" t="s">
        <v>134</v>
      </c>
      <c r="B20" s="16">
        <f t="shared" ref="B20:Q20" si="6">SUM(B14:B19)</f>
        <v>0</v>
      </c>
      <c r="C20" s="16">
        <f t="shared" si="6"/>
        <v>0</v>
      </c>
      <c r="D20" s="16">
        <f t="shared" si="6"/>
        <v>0</v>
      </c>
      <c r="E20" s="16">
        <f t="shared" si="6"/>
        <v>0</v>
      </c>
      <c r="F20" s="16">
        <f t="shared" si="6"/>
        <v>0</v>
      </c>
      <c r="G20" s="16">
        <f t="shared" si="6"/>
        <v>0</v>
      </c>
      <c r="H20" s="16">
        <f t="shared" si="6"/>
        <v>0</v>
      </c>
      <c r="I20" s="16">
        <f t="shared" si="6"/>
        <v>0</v>
      </c>
      <c r="J20" s="16">
        <f t="shared" si="6"/>
        <v>0</v>
      </c>
      <c r="K20" s="16">
        <f t="shared" si="6"/>
        <v>0</v>
      </c>
      <c r="L20" s="16">
        <f t="shared" si="6"/>
        <v>0</v>
      </c>
      <c r="M20" s="16">
        <f t="shared" si="6"/>
        <v>0</v>
      </c>
      <c r="N20" s="16">
        <f t="shared" si="6"/>
        <v>0</v>
      </c>
      <c r="O20" s="16">
        <f t="shared" si="6"/>
        <v>0</v>
      </c>
      <c r="P20" s="16">
        <f t="shared" si="6"/>
        <v>0</v>
      </c>
      <c r="Q20" s="16">
        <f t="shared" si="6"/>
        <v>0</v>
      </c>
    </row>
  </sheetData>
  <conditionalFormatting sqref="I5:I10">
    <cfRule type="dataBar" priority="1">
      <dataBar>
        <cfvo type="num" val="0"/>
        <cfvo type="num" val="1"/>
        <color rgb="FF7E57C2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39DDB"/>
  </sheetPr>
  <dimension ref="A1:C13"/>
  <sheetViews>
    <sheetView showGridLines="0" workbookViewId="0"/>
  </sheetViews>
  <sheetFormatPr defaultRowHeight="15" x14ac:dyDescent="0.25"/>
  <cols>
    <col min="1" max="1" width="44" customWidth="1"/>
    <col min="2" max="2" width="14" customWidth="1"/>
    <col min="3" max="3" width="70" customWidth="1"/>
  </cols>
  <sheetData>
    <row r="1" spans="1:3" ht="20.25" x14ac:dyDescent="0.3">
      <c r="A1" s="1" t="s">
        <v>135</v>
      </c>
    </row>
    <row r="2" spans="1:3" x14ac:dyDescent="0.25">
      <c r="A2" s="2" t="s">
        <v>136</v>
      </c>
    </row>
    <row r="4" spans="1:3" x14ac:dyDescent="0.25">
      <c r="A4" s="9" t="s">
        <v>137</v>
      </c>
      <c r="B4" s="9" t="s">
        <v>13</v>
      </c>
      <c r="C4" s="9" t="s">
        <v>138</v>
      </c>
    </row>
    <row r="5" spans="1:3" x14ac:dyDescent="0.25">
      <c r="A5" s="10" t="s">
        <v>139</v>
      </c>
      <c r="B5" s="25">
        <v>0.3</v>
      </c>
      <c r="C5" s="2" t="s">
        <v>140</v>
      </c>
    </row>
    <row r="6" spans="1:3" x14ac:dyDescent="0.25">
      <c r="A6" s="10" t="s">
        <v>141</v>
      </c>
      <c r="B6" s="25">
        <v>0.2</v>
      </c>
      <c r="C6" s="2" t="s">
        <v>142</v>
      </c>
    </row>
    <row r="7" spans="1:3" x14ac:dyDescent="0.25">
      <c r="A7" s="10" t="s">
        <v>143</v>
      </c>
      <c r="B7" s="26">
        <f>1-B5-B6</f>
        <v>0.49999999999999994</v>
      </c>
      <c r="C7" s="2" t="s">
        <v>144</v>
      </c>
    </row>
    <row r="8" spans="1:3" x14ac:dyDescent="0.25">
      <c r="A8" s="10" t="s">
        <v>145</v>
      </c>
      <c r="B8" s="25">
        <v>0.7</v>
      </c>
      <c r="C8" s="2" t="s">
        <v>146</v>
      </c>
    </row>
    <row r="11" spans="1:3" x14ac:dyDescent="0.25">
      <c r="A11" s="3" t="s">
        <v>147</v>
      </c>
    </row>
    <row r="12" spans="1:3" x14ac:dyDescent="0.25">
      <c r="A12" s="20" t="s">
        <v>148</v>
      </c>
    </row>
    <row r="13" spans="1:3" x14ac:dyDescent="0.25">
      <c r="A13" s="20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Dashboard</vt:lpstr>
      <vt:lpstr>Resumo</vt:lpstr>
      <vt:lpstr>Receitas</vt:lpstr>
      <vt:lpstr>Contas Fixas</vt:lpstr>
      <vt:lpstr>Cartão</vt:lpstr>
      <vt:lpstr>Compras Cartão</vt:lpstr>
      <vt:lpstr>Mercado &amp; Alelo</vt:lpstr>
      <vt:lpstr>Provisões</vt:lpstr>
      <vt:lpstr>Metas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Naves</cp:lastModifiedBy>
  <dcterms:created xsi:type="dcterms:W3CDTF">2026-09-29T12:26:18Z</dcterms:created>
  <dcterms:modified xsi:type="dcterms:W3CDTF">2026-09-29T12:26:28Z</dcterms:modified>
</cp:coreProperties>
</file>